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D:\Sale\"/>
    </mc:Choice>
  </mc:AlternateContent>
  <xr:revisionPtr revIDLastSave="0" documentId="13_ncr:1_{0241EBA9-792E-4367-8142-4B9382EFAC77}" xr6:coauthVersionLast="47" xr6:coauthVersionMax="47" xr10:uidLastSave="{00000000-0000-0000-0000-000000000000}"/>
  <bookViews>
    <workbookView xWindow="11424" yWindow="0" windowWidth="11712" windowHeight="13056" tabRatio="951" firstSheet="1" activeTab="1" xr2:uid="{00000000-000D-0000-FFFF-FFFF00000000}"/>
  </bookViews>
  <sheets>
    <sheet name="Sheet1" sheetId="17" r:id="rId1"/>
    <sheet name="Raw Data" sheetId="5" r:id="rId2"/>
    <sheet name="Sale Trends" sheetId="10" r:id="rId3"/>
    <sheet name="Customer Purchase Behavior Anal" sheetId="11" r:id="rId4"/>
    <sheet name=" Top-Selling Products" sheetId="12" r:id="rId5"/>
    <sheet name="Monthly Sales Trends" sheetId="14" r:id="rId6"/>
    <sheet name="PIe chart For products" sheetId="16" r:id="rId7"/>
  </sheets>
  <definedNames>
    <definedName name="_xlnm._FilterDatabase" localSheetId="1" hidden="1">'Raw Data'!$A$1:$I$2372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10" l="1"/>
  <c r="I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I2346" i="5"/>
  <c r="H2346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H1521" i="5"/>
  <c r="I1520" i="5"/>
  <c r="H1520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H1509" i="5"/>
  <c r="I1508" i="5"/>
  <c r="H1508" i="5"/>
  <c r="I1507" i="5"/>
  <c r="H1507" i="5"/>
  <c r="I1506" i="5"/>
  <c r="H1506" i="5"/>
  <c r="I1505" i="5"/>
  <c r="H1505" i="5"/>
  <c r="I1504" i="5"/>
  <c r="H1504" i="5"/>
  <c r="I1503" i="5"/>
  <c r="H1503" i="5"/>
  <c r="I1502" i="5"/>
  <c r="H1502" i="5"/>
  <c r="I1501" i="5"/>
  <c r="H1501" i="5"/>
  <c r="I1500" i="5"/>
  <c r="H1500" i="5"/>
  <c r="I1499" i="5"/>
  <c r="H1499" i="5"/>
  <c r="I1498" i="5"/>
  <c r="H1498" i="5"/>
  <c r="I1497" i="5"/>
  <c r="H1497" i="5"/>
  <c r="I1496" i="5"/>
  <c r="H1496" i="5"/>
  <c r="I1495" i="5"/>
  <c r="H1495" i="5"/>
  <c r="I1494" i="5"/>
  <c r="H1494" i="5"/>
  <c r="I1493" i="5"/>
  <c r="H1493" i="5"/>
  <c r="I1492" i="5"/>
  <c r="H1492" i="5"/>
  <c r="I1491" i="5"/>
  <c r="H1491" i="5"/>
  <c r="I1490" i="5"/>
  <c r="H1490" i="5"/>
  <c r="I1489" i="5"/>
  <c r="H1489" i="5"/>
  <c r="I1488" i="5"/>
  <c r="H1488" i="5"/>
  <c r="I1487" i="5"/>
  <c r="H1487" i="5"/>
  <c r="I1486" i="5"/>
  <c r="H1486" i="5"/>
  <c r="I1485" i="5"/>
  <c r="H1485" i="5"/>
  <c r="I1484" i="5"/>
  <c r="H1484" i="5"/>
  <c r="I1483" i="5"/>
  <c r="H1483" i="5"/>
  <c r="I1482" i="5"/>
  <c r="H1482" i="5"/>
  <c r="I1481" i="5"/>
  <c r="H1481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72" i="5"/>
  <c r="H1472" i="5"/>
  <c r="I1471" i="5"/>
  <c r="H1471" i="5"/>
  <c r="I1470" i="5"/>
  <c r="H1470" i="5"/>
  <c r="I1469" i="5"/>
  <c r="H1469" i="5"/>
  <c r="I1468" i="5"/>
  <c r="H1468" i="5"/>
  <c r="I1467" i="5"/>
  <c r="H1467" i="5"/>
  <c r="I1466" i="5"/>
  <c r="H1466" i="5"/>
  <c r="I1465" i="5"/>
  <c r="H1465" i="5"/>
  <c r="I1464" i="5"/>
  <c r="H1464" i="5"/>
  <c r="I1463" i="5"/>
  <c r="H1463" i="5"/>
  <c r="I1462" i="5"/>
  <c r="H1462" i="5"/>
  <c r="I1461" i="5"/>
  <c r="H1461" i="5"/>
  <c r="I1460" i="5"/>
  <c r="H1460" i="5"/>
  <c r="I1459" i="5"/>
  <c r="H1459" i="5"/>
  <c r="I1458" i="5"/>
  <c r="H1458" i="5"/>
  <c r="I1457" i="5"/>
  <c r="H1457" i="5"/>
  <c r="I1456" i="5"/>
  <c r="H1456" i="5"/>
  <c r="I1455" i="5"/>
  <c r="H1455" i="5"/>
  <c r="I1454" i="5"/>
  <c r="H1454" i="5"/>
  <c r="I1453" i="5"/>
  <c r="H1453" i="5"/>
  <c r="I1452" i="5"/>
  <c r="H1452" i="5"/>
  <c r="I1451" i="5"/>
  <c r="H1451" i="5"/>
  <c r="I1450" i="5"/>
  <c r="H1450" i="5"/>
  <c r="I1449" i="5"/>
  <c r="H1449" i="5"/>
  <c r="I1448" i="5"/>
  <c r="H1448" i="5"/>
  <c r="I1447" i="5"/>
  <c r="H1447" i="5"/>
  <c r="I1446" i="5"/>
  <c r="H1446" i="5"/>
  <c r="I1445" i="5"/>
  <c r="H1445" i="5"/>
  <c r="I1444" i="5"/>
  <c r="H1444" i="5"/>
  <c r="I1443" i="5"/>
  <c r="H1443" i="5"/>
  <c r="I1442" i="5"/>
  <c r="H1442" i="5"/>
  <c r="I1441" i="5"/>
  <c r="H1441" i="5"/>
  <c r="I1440" i="5"/>
  <c r="H1440" i="5"/>
  <c r="I1439" i="5"/>
  <c r="H1439" i="5"/>
  <c r="I1438" i="5"/>
  <c r="H1438" i="5"/>
  <c r="I1437" i="5"/>
  <c r="H1437" i="5"/>
  <c r="I1436" i="5"/>
  <c r="H1436" i="5"/>
  <c r="I1435" i="5"/>
  <c r="H1435" i="5"/>
  <c r="I1434" i="5"/>
  <c r="H1434" i="5"/>
  <c r="I1433" i="5"/>
  <c r="H1433" i="5"/>
  <c r="I1432" i="5"/>
  <c r="H1432" i="5"/>
  <c r="I1431" i="5"/>
  <c r="H1431" i="5"/>
  <c r="I1430" i="5"/>
  <c r="H1430" i="5"/>
  <c r="I1429" i="5"/>
  <c r="H1429" i="5"/>
  <c r="I1428" i="5"/>
  <c r="H1428" i="5"/>
  <c r="I1427" i="5"/>
  <c r="H1427" i="5"/>
  <c r="I1426" i="5"/>
  <c r="H1426" i="5"/>
  <c r="I1425" i="5"/>
  <c r="H1425" i="5"/>
  <c r="I1424" i="5"/>
  <c r="H1424" i="5"/>
  <c r="I1423" i="5"/>
  <c r="H1423" i="5"/>
  <c r="I1422" i="5"/>
  <c r="H1422" i="5"/>
  <c r="I1421" i="5"/>
  <c r="H1421" i="5"/>
  <c r="I1420" i="5"/>
  <c r="H1420" i="5"/>
  <c r="I1419" i="5"/>
  <c r="H1419" i="5"/>
  <c r="I1418" i="5"/>
  <c r="H1418" i="5"/>
  <c r="I1417" i="5"/>
  <c r="H1417" i="5"/>
  <c r="I1416" i="5"/>
  <c r="H1416" i="5"/>
  <c r="I1415" i="5"/>
  <c r="H1415" i="5"/>
  <c r="I1414" i="5"/>
  <c r="H1414" i="5"/>
  <c r="I1413" i="5"/>
  <c r="H1413" i="5"/>
  <c r="I1412" i="5"/>
  <c r="H1412" i="5"/>
  <c r="I1411" i="5"/>
  <c r="H1411" i="5"/>
  <c r="I1410" i="5"/>
  <c r="H1410" i="5"/>
  <c r="I1409" i="5"/>
  <c r="H1409" i="5"/>
  <c r="I1408" i="5"/>
  <c r="H1408" i="5"/>
  <c r="I1407" i="5"/>
  <c r="H1407" i="5"/>
  <c r="I1406" i="5"/>
  <c r="H1406" i="5"/>
  <c r="I1405" i="5"/>
  <c r="H1405" i="5"/>
  <c r="I1404" i="5"/>
  <c r="H1404" i="5"/>
  <c r="I1403" i="5"/>
  <c r="H1403" i="5"/>
  <c r="I1402" i="5"/>
  <c r="H1402" i="5"/>
  <c r="I1401" i="5"/>
  <c r="H1401" i="5"/>
  <c r="I1400" i="5"/>
  <c r="H1400" i="5"/>
  <c r="I1399" i="5"/>
  <c r="H1399" i="5"/>
  <c r="I1398" i="5"/>
  <c r="H1398" i="5"/>
  <c r="I1397" i="5"/>
  <c r="H1397" i="5"/>
  <c r="I1396" i="5"/>
  <c r="H1396" i="5"/>
  <c r="I1395" i="5"/>
  <c r="H1395" i="5"/>
  <c r="I1394" i="5"/>
  <c r="H1394" i="5"/>
  <c r="I1393" i="5"/>
  <c r="H1393" i="5"/>
  <c r="I1392" i="5"/>
  <c r="H1392" i="5"/>
  <c r="I1391" i="5"/>
  <c r="H1391" i="5"/>
  <c r="I1390" i="5"/>
  <c r="H1390" i="5"/>
  <c r="I1389" i="5"/>
  <c r="H1389" i="5"/>
  <c r="I1388" i="5"/>
  <c r="H1388" i="5"/>
  <c r="I1387" i="5"/>
  <c r="H1387" i="5"/>
  <c r="I1386" i="5"/>
  <c r="H1386" i="5"/>
  <c r="I1385" i="5"/>
  <c r="H1385" i="5"/>
  <c r="I1384" i="5"/>
  <c r="H1384" i="5"/>
  <c r="I1383" i="5"/>
  <c r="H1383" i="5"/>
  <c r="I1382" i="5"/>
  <c r="H1382" i="5"/>
  <c r="I1381" i="5"/>
  <c r="H1381" i="5"/>
  <c r="I1380" i="5"/>
  <c r="H1380" i="5"/>
  <c r="I1379" i="5"/>
  <c r="H1379" i="5"/>
  <c r="I1378" i="5"/>
  <c r="H1378" i="5"/>
  <c r="I1377" i="5"/>
  <c r="H1377" i="5"/>
  <c r="I1376" i="5"/>
  <c r="H1376" i="5"/>
  <c r="I1375" i="5"/>
  <c r="H1375" i="5"/>
  <c r="I1374" i="5"/>
  <c r="H1374" i="5"/>
  <c r="I1373" i="5"/>
  <c r="H1373" i="5"/>
  <c r="I1372" i="5"/>
  <c r="H1372" i="5"/>
  <c r="I1371" i="5"/>
  <c r="H1371" i="5"/>
  <c r="I1370" i="5"/>
  <c r="H1370" i="5"/>
  <c r="I1369" i="5"/>
  <c r="H1369" i="5"/>
  <c r="I1368" i="5"/>
  <c r="H1368" i="5"/>
  <c r="I1367" i="5"/>
  <c r="H1367" i="5"/>
  <c r="I1366" i="5"/>
  <c r="H1366" i="5"/>
  <c r="I1365" i="5"/>
  <c r="H1365" i="5"/>
  <c r="I1364" i="5"/>
  <c r="H1364" i="5"/>
  <c r="I1363" i="5"/>
  <c r="H1363" i="5"/>
  <c r="I1362" i="5"/>
  <c r="H1362" i="5"/>
  <c r="I1361" i="5"/>
  <c r="H1361" i="5"/>
  <c r="I1360" i="5"/>
  <c r="H1360" i="5"/>
  <c r="I1359" i="5"/>
  <c r="H1359" i="5"/>
  <c r="I1358" i="5"/>
  <c r="H1358" i="5"/>
  <c r="I1357" i="5"/>
  <c r="H1357" i="5"/>
  <c r="I1356" i="5"/>
  <c r="H1356" i="5"/>
  <c r="I1355" i="5"/>
  <c r="H1355" i="5"/>
  <c r="I1354" i="5"/>
  <c r="H1354" i="5"/>
  <c r="I1353" i="5"/>
  <c r="H1353" i="5"/>
  <c r="I1352" i="5"/>
  <c r="H1352" i="5"/>
  <c r="I1351" i="5"/>
  <c r="H1351" i="5"/>
  <c r="I1350" i="5"/>
  <c r="H1350" i="5"/>
  <c r="I1349" i="5"/>
  <c r="H1349" i="5"/>
  <c r="I1348" i="5"/>
  <c r="H1348" i="5"/>
  <c r="I1347" i="5"/>
  <c r="H1347" i="5"/>
  <c r="I1346" i="5"/>
  <c r="H1346" i="5"/>
  <c r="I1345" i="5"/>
  <c r="H1345" i="5"/>
  <c r="I1344" i="5"/>
  <c r="H1344" i="5"/>
  <c r="I1343" i="5"/>
  <c r="H1343" i="5"/>
  <c r="I1342" i="5"/>
  <c r="H1342" i="5"/>
  <c r="I1341" i="5"/>
  <c r="H1341" i="5"/>
  <c r="I1340" i="5"/>
  <c r="H1340" i="5"/>
  <c r="I1339" i="5"/>
  <c r="H1339" i="5"/>
  <c r="I1338" i="5"/>
  <c r="H1338" i="5"/>
  <c r="I1337" i="5"/>
  <c r="H1337" i="5"/>
  <c r="I1336" i="5"/>
  <c r="H1336" i="5"/>
  <c r="I1335" i="5"/>
  <c r="H1335" i="5"/>
  <c r="I1334" i="5"/>
  <c r="H1334" i="5"/>
  <c r="I1333" i="5"/>
  <c r="H1333" i="5"/>
  <c r="I1332" i="5"/>
  <c r="H1332" i="5"/>
  <c r="I1331" i="5"/>
  <c r="H1331" i="5"/>
  <c r="I1330" i="5"/>
  <c r="H1330" i="5"/>
  <c r="I1329" i="5"/>
  <c r="H1329" i="5"/>
  <c r="I1328" i="5"/>
  <c r="H1328" i="5"/>
  <c r="I1327" i="5"/>
  <c r="H1327" i="5"/>
  <c r="I1326" i="5"/>
  <c r="H1326" i="5"/>
  <c r="I1325" i="5"/>
  <c r="H1325" i="5"/>
  <c r="I1324" i="5"/>
  <c r="H1324" i="5"/>
  <c r="I1323" i="5"/>
  <c r="H1323" i="5"/>
  <c r="I1322" i="5"/>
  <c r="H1322" i="5"/>
  <c r="I1321" i="5"/>
  <c r="H1321" i="5"/>
  <c r="I1320" i="5"/>
  <c r="H1320" i="5"/>
  <c r="I1319" i="5"/>
  <c r="H1319" i="5"/>
  <c r="I1318" i="5"/>
  <c r="H1318" i="5"/>
  <c r="I1317" i="5"/>
  <c r="H1317" i="5"/>
  <c r="I1316" i="5"/>
  <c r="H1316" i="5"/>
  <c r="I1315" i="5"/>
  <c r="H1315" i="5"/>
  <c r="I1314" i="5"/>
  <c r="H1314" i="5"/>
  <c r="I1313" i="5"/>
  <c r="H1313" i="5"/>
  <c r="I1312" i="5"/>
  <c r="H1312" i="5"/>
  <c r="I1311" i="5"/>
  <c r="H1311" i="5"/>
  <c r="I1310" i="5"/>
  <c r="H1310" i="5"/>
  <c r="I1309" i="5"/>
  <c r="H1309" i="5"/>
  <c r="I1308" i="5"/>
  <c r="H1308" i="5"/>
  <c r="I1307" i="5"/>
  <c r="H1307" i="5"/>
  <c r="I1306" i="5"/>
  <c r="H1306" i="5"/>
  <c r="I1305" i="5"/>
  <c r="H1305" i="5"/>
  <c r="I1304" i="5"/>
  <c r="H1304" i="5"/>
  <c r="I1303" i="5"/>
  <c r="H1303" i="5"/>
  <c r="I1302" i="5"/>
  <c r="H1302" i="5"/>
  <c r="I1301" i="5"/>
  <c r="H1301" i="5"/>
  <c r="I1300" i="5"/>
  <c r="H1300" i="5"/>
  <c r="I1299" i="5"/>
  <c r="H1299" i="5"/>
  <c r="I1298" i="5"/>
  <c r="H1298" i="5"/>
  <c r="I1297" i="5"/>
  <c r="H1297" i="5"/>
  <c r="I1296" i="5"/>
  <c r="H1296" i="5"/>
  <c r="I1295" i="5"/>
  <c r="H1295" i="5"/>
  <c r="I1294" i="5"/>
  <c r="H1294" i="5"/>
  <c r="I1293" i="5"/>
  <c r="H1293" i="5"/>
  <c r="I1292" i="5"/>
  <c r="H1292" i="5"/>
  <c r="I1291" i="5"/>
  <c r="H1291" i="5"/>
  <c r="I1290" i="5"/>
  <c r="H1290" i="5"/>
  <c r="I1289" i="5"/>
  <c r="H1289" i="5"/>
  <c r="I1288" i="5"/>
  <c r="H1288" i="5"/>
  <c r="I1287" i="5"/>
  <c r="H1287" i="5"/>
  <c r="I1286" i="5"/>
  <c r="H1286" i="5"/>
  <c r="I1285" i="5"/>
  <c r="H1285" i="5"/>
  <c r="I1284" i="5"/>
  <c r="H1284" i="5"/>
  <c r="I1283" i="5"/>
  <c r="H1283" i="5"/>
  <c r="I1282" i="5"/>
  <c r="H1282" i="5"/>
  <c r="I1281" i="5"/>
  <c r="H1281" i="5"/>
  <c r="I1280" i="5"/>
  <c r="H1280" i="5"/>
  <c r="I1279" i="5"/>
  <c r="H1279" i="5"/>
  <c r="I1278" i="5"/>
  <c r="H1278" i="5"/>
  <c r="I1277" i="5"/>
  <c r="H1277" i="5"/>
  <c r="I1276" i="5"/>
  <c r="H1276" i="5"/>
  <c r="I1275" i="5"/>
  <c r="H1275" i="5"/>
  <c r="I1274" i="5"/>
  <c r="H1274" i="5"/>
  <c r="I1273" i="5"/>
  <c r="H1273" i="5"/>
  <c r="I1272" i="5"/>
  <c r="H1272" i="5"/>
  <c r="I1271" i="5"/>
  <c r="H1271" i="5"/>
  <c r="I1270" i="5"/>
  <c r="H1270" i="5"/>
  <c r="I1269" i="5"/>
  <c r="H1269" i="5"/>
  <c r="I1268" i="5"/>
  <c r="H1268" i="5"/>
  <c r="I1267" i="5"/>
  <c r="H1267" i="5"/>
  <c r="I1266" i="5"/>
  <c r="H1266" i="5"/>
  <c r="I1265" i="5"/>
  <c r="H1265" i="5"/>
  <c r="I1264" i="5"/>
  <c r="H1264" i="5"/>
  <c r="I1263" i="5"/>
  <c r="H1263" i="5"/>
  <c r="I1262" i="5"/>
  <c r="H1262" i="5"/>
  <c r="I1261" i="5"/>
  <c r="H1261" i="5"/>
  <c r="I1260" i="5"/>
  <c r="H1260" i="5"/>
  <c r="I1259" i="5"/>
  <c r="H1259" i="5"/>
  <c r="I1258" i="5"/>
  <c r="H1258" i="5"/>
  <c r="I1257" i="5"/>
  <c r="H1257" i="5"/>
  <c r="I1256" i="5"/>
  <c r="H1256" i="5"/>
  <c r="I1255" i="5"/>
  <c r="H1255" i="5"/>
  <c r="I1254" i="5"/>
  <c r="H1254" i="5"/>
  <c r="I1253" i="5"/>
  <c r="H1253" i="5"/>
  <c r="I1252" i="5"/>
  <c r="H1252" i="5"/>
  <c r="I1251" i="5"/>
  <c r="H1251" i="5"/>
  <c r="I1250" i="5"/>
  <c r="H1250" i="5"/>
  <c r="I1249" i="5"/>
  <c r="H1249" i="5"/>
  <c r="I1248" i="5"/>
  <c r="H1248" i="5"/>
  <c r="I1247" i="5"/>
  <c r="H1247" i="5"/>
  <c r="I1246" i="5"/>
  <c r="H1246" i="5"/>
  <c r="I1245" i="5"/>
  <c r="H1245" i="5"/>
  <c r="I1244" i="5"/>
  <c r="H1244" i="5"/>
  <c r="I1243" i="5"/>
  <c r="H1243" i="5"/>
  <c r="I1242" i="5"/>
  <c r="H1242" i="5"/>
  <c r="I1241" i="5"/>
  <c r="H1241" i="5"/>
  <c r="I1240" i="5"/>
  <c r="H1240" i="5"/>
  <c r="I1239" i="5"/>
  <c r="H1239" i="5"/>
  <c r="I1238" i="5"/>
  <c r="H1238" i="5"/>
  <c r="I1237" i="5"/>
  <c r="H1237" i="5"/>
  <c r="I1236" i="5"/>
  <c r="H1236" i="5"/>
  <c r="I1235" i="5"/>
  <c r="H1235" i="5"/>
  <c r="I1234" i="5"/>
  <c r="H1234" i="5"/>
  <c r="I1233" i="5"/>
  <c r="H1233" i="5"/>
  <c r="I1232" i="5"/>
  <c r="H1232" i="5"/>
  <c r="I1231" i="5"/>
  <c r="H1231" i="5"/>
  <c r="I1230" i="5"/>
  <c r="H1230" i="5"/>
  <c r="I1229" i="5"/>
  <c r="H1229" i="5"/>
  <c r="I1228" i="5"/>
  <c r="H1228" i="5"/>
  <c r="I1227" i="5"/>
  <c r="H1227" i="5"/>
  <c r="I1226" i="5"/>
  <c r="H1226" i="5"/>
  <c r="I1225" i="5"/>
  <c r="H1225" i="5"/>
  <c r="I1224" i="5"/>
  <c r="H1224" i="5"/>
  <c r="I1223" i="5"/>
  <c r="H1223" i="5"/>
  <c r="I1222" i="5"/>
  <c r="H1222" i="5"/>
  <c r="I1221" i="5"/>
  <c r="H1221" i="5"/>
  <c r="I1220" i="5"/>
  <c r="H1220" i="5"/>
  <c r="I1219" i="5"/>
  <c r="H1219" i="5"/>
  <c r="I1218" i="5"/>
  <c r="H1218" i="5"/>
  <c r="I1217" i="5"/>
  <c r="H1217" i="5"/>
  <c r="I1216" i="5"/>
  <c r="H1216" i="5"/>
  <c r="I1215" i="5"/>
  <c r="H1215" i="5"/>
  <c r="I1214" i="5"/>
  <c r="H1214" i="5"/>
  <c r="I1213" i="5"/>
  <c r="H1213" i="5"/>
  <c r="I1212" i="5"/>
  <c r="H1212" i="5"/>
  <c r="I1211" i="5"/>
  <c r="H1211" i="5"/>
  <c r="I1210" i="5"/>
  <c r="H1210" i="5"/>
  <c r="I1209" i="5"/>
  <c r="H1209" i="5"/>
  <c r="I1208" i="5"/>
  <c r="H1208" i="5"/>
  <c r="I1207" i="5"/>
  <c r="H1207" i="5"/>
  <c r="I1206" i="5"/>
  <c r="H1206" i="5"/>
  <c r="I1205" i="5"/>
  <c r="H1205" i="5"/>
  <c r="I1204" i="5"/>
  <c r="H1204" i="5"/>
  <c r="I1203" i="5"/>
  <c r="H1203" i="5"/>
  <c r="I1202" i="5"/>
  <c r="H1202" i="5"/>
  <c r="I1201" i="5"/>
  <c r="H1201" i="5"/>
  <c r="I1200" i="5"/>
  <c r="H1200" i="5"/>
  <c r="I1199" i="5"/>
  <c r="H1199" i="5"/>
  <c r="I1198" i="5"/>
  <c r="H1198" i="5"/>
  <c r="I1197" i="5"/>
  <c r="H1197" i="5"/>
  <c r="I1196" i="5"/>
  <c r="H1196" i="5"/>
  <c r="I1195" i="5"/>
  <c r="H1195" i="5"/>
  <c r="I1194" i="5"/>
  <c r="H1194" i="5"/>
  <c r="I1193" i="5"/>
  <c r="H1193" i="5"/>
  <c r="I1192" i="5"/>
  <c r="H1192" i="5"/>
  <c r="I1191" i="5"/>
  <c r="H1191" i="5"/>
  <c r="I1190" i="5"/>
  <c r="H1190" i="5"/>
  <c r="I1189" i="5"/>
  <c r="H1189" i="5"/>
  <c r="I1188" i="5"/>
  <c r="H1188" i="5"/>
  <c r="I1187" i="5"/>
  <c r="H1187" i="5"/>
  <c r="I1186" i="5"/>
  <c r="H1186" i="5"/>
  <c r="I1185" i="5"/>
  <c r="H1185" i="5"/>
  <c r="I1184" i="5"/>
  <c r="H1184" i="5"/>
  <c r="I1183" i="5"/>
  <c r="H1183" i="5"/>
  <c r="I1182" i="5"/>
  <c r="H1182" i="5"/>
  <c r="I1181" i="5"/>
  <c r="H1181" i="5"/>
  <c r="I1180" i="5"/>
  <c r="H1180" i="5"/>
  <c r="I1179" i="5"/>
  <c r="H1179" i="5"/>
  <c r="I1178" i="5"/>
  <c r="H1178" i="5"/>
  <c r="I1177" i="5"/>
  <c r="H1177" i="5"/>
  <c r="I1176" i="5"/>
  <c r="H1176" i="5"/>
  <c r="I1175" i="5"/>
  <c r="H1175" i="5"/>
  <c r="I1174" i="5"/>
  <c r="H1174" i="5"/>
  <c r="I1173" i="5"/>
  <c r="H1173" i="5"/>
  <c r="I1172" i="5"/>
  <c r="H1172" i="5"/>
  <c r="I1171" i="5"/>
  <c r="H1171" i="5"/>
  <c r="I1170" i="5"/>
  <c r="H1170" i="5"/>
  <c r="I1169" i="5"/>
  <c r="H1169" i="5"/>
  <c r="I1168" i="5"/>
  <c r="H1168" i="5"/>
  <c r="I1167" i="5"/>
  <c r="H1167" i="5"/>
  <c r="I1166" i="5"/>
  <c r="H1166" i="5"/>
  <c r="I1165" i="5"/>
  <c r="H1165" i="5"/>
  <c r="I1164" i="5"/>
  <c r="H1164" i="5"/>
  <c r="I1163" i="5"/>
  <c r="H1163" i="5"/>
  <c r="I1162" i="5"/>
  <c r="H1162" i="5"/>
  <c r="I1161" i="5"/>
  <c r="H1161" i="5"/>
  <c r="I1160" i="5"/>
  <c r="H1160" i="5"/>
  <c r="I1159" i="5"/>
  <c r="H1159" i="5"/>
  <c r="I1158" i="5"/>
  <c r="H1158" i="5"/>
  <c r="I1157" i="5"/>
  <c r="H1157" i="5"/>
  <c r="I1156" i="5"/>
  <c r="H1156" i="5"/>
  <c r="I1155" i="5"/>
  <c r="H1155" i="5"/>
  <c r="I1154" i="5"/>
  <c r="H1154" i="5"/>
  <c r="I1153" i="5"/>
  <c r="H1153" i="5"/>
  <c r="I1152" i="5"/>
  <c r="H1152" i="5"/>
  <c r="I1151" i="5"/>
  <c r="H1151" i="5"/>
  <c r="I1150" i="5"/>
  <c r="H1150" i="5"/>
  <c r="I1149" i="5"/>
  <c r="H1149" i="5"/>
  <c r="I1148" i="5"/>
  <c r="H1148" i="5"/>
  <c r="I1147" i="5"/>
  <c r="H1147" i="5"/>
  <c r="I1146" i="5"/>
  <c r="H1146" i="5"/>
  <c r="I1145" i="5"/>
  <c r="H1145" i="5"/>
  <c r="I1144" i="5"/>
  <c r="H1144" i="5"/>
  <c r="I1143" i="5"/>
  <c r="H1143" i="5"/>
  <c r="I1142" i="5"/>
  <c r="H1142" i="5"/>
  <c r="I1141" i="5"/>
  <c r="H1141" i="5"/>
  <c r="I1140" i="5"/>
  <c r="H1140" i="5"/>
  <c r="I1139" i="5"/>
  <c r="H1139" i="5"/>
  <c r="I1138" i="5"/>
  <c r="H1138" i="5"/>
  <c r="I1137" i="5"/>
  <c r="H1137" i="5"/>
  <c r="I1136" i="5"/>
  <c r="H1136" i="5"/>
  <c r="I1135" i="5"/>
  <c r="H1135" i="5"/>
  <c r="I1134" i="5"/>
  <c r="H1134" i="5"/>
  <c r="I1133" i="5"/>
  <c r="H1133" i="5"/>
  <c r="I1132" i="5"/>
  <c r="H1132" i="5"/>
  <c r="I1131" i="5"/>
  <c r="H1131" i="5"/>
  <c r="I1130" i="5"/>
  <c r="H1130" i="5"/>
  <c r="I1129" i="5"/>
  <c r="H1129" i="5"/>
  <c r="I1128" i="5"/>
  <c r="H1128" i="5"/>
  <c r="I1127" i="5"/>
  <c r="H1127" i="5"/>
  <c r="I1126" i="5"/>
  <c r="H1126" i="5"/>
  <c r="I1125" i="5"/>
  <c r="H1125" i="5"/>
  <c r="I1124" i="5"/>
  <c r="H1124" i="5"/>
  <c r="I1123" i="5"/>
  <c r="H1123" i="5"/>
  <c r="I1122" i="5"/>
  <c r="H1122" i="5"/>
  <c r="I1121" i="5"/>
  <c r="H1121" i="5"/>
  <c r="I1120" i="5"/>
  <c r="H1120" i="5"/>
  <c r="I1119" i="5"/>
  <c r="H1119" i="5"/>
  <c r="I1118" i="5"/>
  <c r="H1118" i="5"/>
  <c r="I1117" i="5"/>
  <c r="H1117" i="5"/>
  <c r="I1116" i="5"/>
  <c r="H1116" i="5"/>
  <c r="I1115" i="5"/>
  <c r="H1115" i="5"/>
  <c r="I1114" i="5"/>
  <c r="H1114" i="5"/>
  <c r="I1113" i="5"/>
  <c r="H1113" i="5"/>
  <c r="I1112" i="5"/>
  <c r="H1112" i="5"/>
  <c r="I1111" i="5"/>
  <c r="H1111" i="5"/>
  <c r="I1110" i="5"/>
  <c r="H1110" i="5"/>
  <c r="I1109" i="5"/>
  <c r="H1109" i="5"/>
  <c r="I1108" i="5"/>
  <c r="H1108" i="5"/>
  <c r="I1107" i="5"/>
  <c r="H1107" i="5"/>
  <c r="I1106" i="5"/>
  <c r="H1106" i="5"/>
  <c r="I1105" i="5"/>
  <c r="H1105" i="5"/>
  <c r="I1104" i="5"/>
  <c r="H1104" i="5"/>
  <c r="I1103" i="5"/>
  <c r="H1103" i="5"/>
  <c r="I1102" i="5"/>
  <c r="H1102" i="5"/>
  <c r="I1101" i="5"/>
  <c r="H1101" i="5"/>
  <c r="I1100" i="5"/>
  <c r="H1100" i="5"/>
  <c r="I1099" i="5"/>
  <c r="H1099" i="5"/>
  <c r="I1098" i="5"/>
  <c r="H1098" i="5"/>
  <c r="I1097" i="5"/>
  <c r="H1097" i="5"/>
  <c r="I1096" i="5"/>
  <c r="H1096" i="5"/>
  <c r="I1095" i="5"/>
  <c r="H1095" i="5"/>
  <c r="I1094" i="5"/>
  <c r="H1094" i="5"/>
  <c r="I1093" i="5"/>
  <c r="H1093" i="5"/>
  <c r="I1092" i="5"/>
  <c r="H1092" i="5"/>
  <c r="I1091" i="5"/>
  <c r="H1091" i="5"/>
  <c r="I1090" i="5"/>
  <c r="H1090" i="5"/>
  <c r="I1089" i="5"/>
  <c r="H1089" i="5"/>
  <c r="I1088" i="5"/>
  <c r="H1088" i="5"/>
  <c r="I1087" i="5"/>
  <c r="H1087" i="5"/>
  <c r="I1086" i="5"/>
  <c r="H1086" i="5"/>
  <c r="I1085" i="5"/>
  <c r="H1085" i="5"/>
  <c r="I1084" i="5"/>
  <c r="H1084" i="5"/>
  <c r="I1083" i="5"/>
  <c r="H1083" i="5"/>
  <c r="I1082" i="5"/>
  <c r="H1082" i="5"/>
  <c r="I1081" i="5"/>
  <c r="H1081" i="5"/>
  <c r="I1080" i="5"/>
  <c r="H1080" i="5"/>
  <c r="I1079" i="5"/>
  <c r="H1079" i="5"/>
  <c r="I1078" i="5"/>
  <c r="H1078" i="5"/>
  <c r="I1077" i="5"/>
  <c r="H1077" i="5"/>
  <c r="I1076" i="5"/>
  <c r="H1076" i="5"/>
  <c r="I1075" i="5"/>
  <c r="H1075" i="5"/>
  <c r="I1074" i="5"/>
  <c r="H1074" i="5"/>
  <c r="I1073" i="5"/>
  <c r="H1073" i="5"/>
  <c r="I1072" i="5"/>
  <c r="H1072" i="5"/>
  <c r="I1071" i="5"/>
  <c r="H1071" i="5"/>
  <c r="I1070" i="5"/>
  <c r="H1070" i="5"/>
  <c r="I1069" i="5"/>
  <c r="H1069" i="5"/>
  <c r="I1068" i="5"/>
  <c r="H1068" i="5"/>
  <c r="I1067" i="5"/>
  <c r="H1067" i="5"/>
  <c r="I1066" i="5"/>
  <c r="H1066" i="5"/>
  <c r="I1065" i="5"/>
  <c r="H1065" i="5"/>
  <c r="I1064" i="5"/>
  <c r="H1064" i="5"/>
  <c r="I1063" i="5"/>
  <c r="H1063" i="5"/>
  <c r="I1062" i="5"/>
  <c r="H1062" i="5"/>
  <c r="I1061" i="5"/>
  <c r="H1061" i="5"/>
  <c r="I1060" i="5"/>
  <c r="H1060" i="5"/>
  <c r="I1059" i="5"/>
  <c r="H1059" i="5"/>
  <c r="I1058" i="5"/>
  <c r="H1058" i="5"/>
  <c r="I1057" i="5"/>
  <c r="H1057" i="5"/>
  <c r="I1056" i="5"/>
  <c r="H1056" i="5"/>
  <c r="I1055" i="5"/>
  <c r="H1055" i="5"/>
  <c r="I1054" i="5"/>
  <c r="H1054" i="5"/>
  <c r="I1053" i="5"/>
  <c r="H1053" i="5"/>
  <c r="I1052" i="5"/>
  <c r="H1052" i="5"/>
  <c r="I1051" i="5"/>
  <c r="H1051" i="5"/>
  <c r="I1050" i="5"/>
  <c r="H1050" i="5"/>
  <c r="I1049" i="5"/>
  <c r="H1049" i="5"/>
  <c r="I1048" i="5"/>
  <c r="H1048" i="5"/>
  <c r="I1047" i="5"/>
  <c r="H1047" i="5"/>
  <c r="I1046" i="5"/>
  <c r="H1046" i="5"/>
  <c r="I1045" i="5"/>
  <c r="H1045" i="5"/>
  <c r="I1044" i="5"/>
  <c r="H1044" i="5"/>
  <c r="I1043" i="5"/>
  <c r="H1043" i="5"/>
  <c r="I1042" i="5"/>
  <c r="H1042" i="5"/>
  <c r="I1041" i="5"/>
  <c r="H1041" i="5"/>
  <c r="I1040" i="5"/>
  <c r="H1040" i="5"/>
  <c r="I1039" i="5"/>
  <c r="H1039" i="5"/>
  <c r="I1038" i="5"/>
  <c r="H1038" i="5"/>
  <c r="I1037" i="5"/>
  <c r="H1037" i="5"/>
  <c r="I1036" i="5"/>
  <c r="H1036" i="5"/>
  <c r="I1035" i="5"/>
  <c r="H1035" i="5"/>
  <c r="I1034" i="5"/>
  <c r="H1034" i="5"/>
  <c r="I1033" i="5"/>
  <c r="H1033" i="5"/>
  <c r="I1032" i="5"/>
  <c r="H1032" i="5"/>
  <c r="I1031" i="5"/>
  <c r="H1031" i="5"/>
  <c r="I1030" i="5"/>
  <c r="H1030" i="5"/>
  <c r="I1029" i="5"/>
  <c r="H1029" i="5"/>
  <c r="I1028" i="5"/>
  <c r="H1028" i="5"/>
  <c r="I1027" i="5"/>
  <c r="H1027" i="5"/>
  <c r="I1026" i="5"/>
  <c r="H1026" i="5"/>
  <c r="I1025" i="5"/>
  <c r="H1025" i="5"/>
  <c r="I1024" i="5"/>
  <c r="H1024" i="5"/>
  <c r="I1023" i="5"/>
  <c r="H1023" i="5"/>
  <c r="I1022" i="5"/>
  <c r="H1022" i="5"/>
  <c r="I1021" i="5"/>
  <c r="H1021" i="5"/>
  <c r="I1020" i="5"/>
  <c r="H1020" i="5"/>
  <c r="I1019" i="5"/>
  <c r="H1019" i="5"/>
  <c r="I1018" i="5"/>
  <c r="H1018" i="5"/>
  <c r="I1017" i="5"/>
  <c r="H1017" i="5"/>
  <c r="I1016" i="5"/>
  <c r="H1016" i="5"/>
  <c r="I1015" i="5"/>
  <c r="H1015" i="5"/>
  <c r="I1014" i="5"/>
  <c r="H1014" i="5"/>
  <c r="I1013" i="5"/>
  <c r="H1013" i="5"/>
  <c r="I1012" i="5"/>
  <c r="H1012" i="5"/>
  <c r="I1011" i="5"/>
  <c r="H1011" i="5"/>
  <c r="I1010" i="5"/>
  <c r="H1010" i="5"/>
  <c r="I1009" i="5"/>
  <c r="H1009" i="5"/>
  <c r="I1008" i="5"/>
  <c r="H1008" i="5"/>
  <c r="I1007" i="5"/>
  <c r="H1007" i="5"/>
  <c r="I1006" i="5"/>
  <c r="H1006" i="5"/>
  <c r="I1005" i="5"/>
  <c r="H1005" i="5"/>
  <c r="I1004" i="5"/>
  <c r="H1004" i="5"/>
  <c r="I1003" i="5"/>
  <c r="H1003" i="5"/>
  <c r="I1002" i="5"/>
  <c r="H1002" i="5"/>
  <c r="I1001" i="5"/>
  <c r="H1001" i="5"/>
  <c r="I1000" i="5"/>
  <c r="H1000" i="5"/>
  <c r="I999" i="5"/>
  <c r="H999" i="5"/>
  <c r="I998" i="5"/>
  <c r="H998" i="5"/>
  <c r="I997" i="5"/>
  <c r="H997" i="5"/>
  <c r="I996" i="5"/>
  <c r="H996" i="5"/>
  <c r="I995" i="5"/>
  <c r="H995" i="5"/>
  <c r="I994" i="5"/>
  <c r="H994" i="5"/>
  <c r="I993" i="5"/>
  <c r="H993" i="5"/>
  <c r="I992" i="5"/>
  <c r="H992" i="5"/>
  <c r="I991" i="5"/>
  <c r="H991" i="5"/>
  <c r="I990" i="5"/>
  <c r="H990" i="5"/>
  <c r="I989" i="5"/>
  <c r="H989" i="5"/>
  <c r="I988" i="5"/>
  <c r="H988" i="5"/>
  <c r="I987" i="5"/>
  <c r="H987" i="5"/>
  <c r="I986" i="5"/>
  <c r="H986" i="5"/>
  <c r="I985" i="5"/>
  <c r="H985" i="5"/>
  <c r="I984" i="5"/>
  <c r="H984" i="5"/>
  <c r="I983" i="5"/>
  <c r="H983" i="5"/>
  <c r="I982" i="5"/>
  <c r="H982" i="5"/>
  <c r="I981" i="5"/>
  <c r="H981" i="5"/>
  <c r="I980" i="5"/>
  <c r="H980" i="5"/>
  <c r="I979" i="5"/>
  <c r="H979" i="5"/>
  <c r="I978" i="5"/>
  <c r="H978" i="5"/>
  <c r="I977" i="5"/>
  <c r="H977" i="5"/>
  <c r="I976" i="5"/>
  <c r="H976" i="5"/>
  <c r="I975" i="5"/>
  <c r="H975" i="5"/>
  <c r="I974" i="5"/>
  <c r="H974" i="5"/>
  <c r="I973" i="5"/>
  <c r="H973" i="5"/>
  <c r="I972" i="5"/>
  <c r="H972" i="5"/>
  <c r="I971" i="5"/>
  <c r="H971" i="5"/>
  <c r="I970" i="5"/>
  <c r="H970" i="5"/>
  <c r="I969" i="5"/>
  <c r="H969" i="5"/>
  <c r="I968" i="5"/>
  <c r="H968" i="5"/>
  <c r="I967" i="5"/>
  <c r="H967" i="5"/>
  <c r="I966" i="5"/>
  <c r="H966" i="5"/>
  <c r="I965" i="5"/>
  <c r="H965" i="5"/>
  <c r="I964" i="5"/>
  <c r="H964" i="5"/>
  <c r="I963" i="5"/>
  <c r="H963" i="5"/>
  <c r="I962" i="5"/>
  <c r="H962" i="5"/>
  <c r="I961" i="5"/>
  <c r="H961" i="5"/>
  <c r="I960" i="5"/>
  <c r="H960" i="5"/>
  <c r="I959" i="5"/>
  <c r="H959" i="5"/>
  <c r="I958" i="5"/>
  <c r="H958" i="5"/>
  <c r="I957" i="5"/>
  <c r="H957" i="5"/>
  <c r="I956" i="5"/>
  <c r="H956" i="5"/>
  <c r="I955" i="5"/>
  <c r="H955" i="5"/>
  <c r="I954" i="5"/>
  <c r="H954" i="5"/>
  <c r="I953" i="5"/>
  <c r="H953" i="5"/>
  <c r="I952" i="5"/>
  <c r="H952" i="5"/>
  <c r="I951" i="5"/>
  <c r="H951" i="5"/>
  <c r="I950" i="5"/>
  <c r="H950" i="5"/>
  <c r="I949" i="5"/>
  <c r="H949" i="5"/>
  <c r="I948" i="5"/>
  <c r="H948" i="5"/>
  <c r="I947" i="5"/>
  <c r="H947" i="5"/>
  <c r="I946" i="5"/>
  <c r="H946" i="5"/>
  <c r="I945" i="5"/>
  <c r="H945" i="5"/>
  <c r="I944" i="5"/>
  <c r="H944" i="5"/>
  <c r="I943" i="5"/>
  <c r="H943" i="5"/>
  <c r="I942" i="5"/>
  <c r="H942" i="5"/>
  <c r="I941" i="5"/>
  <c r="H941" i="5"/>
  <c r="I940" i="5"/>
  <c r="H940" i="5"/>
  <c r="I939" i="5"/>
  <c r="H939" i="5"/>
  <c r="I938" i="5"/>
  <c r="H938" i="5"/>
  <c r="I937" i="5"/>
  <c r="H937" i="5"/>
  <c r="I936" i="5"/>
  <c r="H936" i="5"/>
  <c r="I935" i="5"/>
  <c r="H935" i="5"/>
  <c r="I934" i="5"/>
  <c r="H934" i="5"/>
  <c r="I933" i="5"/>
  <c r="H933" i="5"/>
  <c r="I932" i="5"/>
  <c r="H932" i="5"/>
  <c r="I931" i="5"/>
  <c r="H931" i="5"/>
  <c r="I930" i="5"/>
  <c r="H930" i="5"/>
  <c r="I929" i="5"/>
  <c r="H929" i="5"/>
  <c r="I928" i="5"/>
  <c r="H928" i="5"/>
  <c r="I927" i="5"/>
  <c r="H927" i="5"/>
  <c r="I926" i="5"/>
  <c r="H926" i="5"/>
  <c r="I925" i="5"/>
  <c r="H925" i="5"/>
  <c r="I924" i="5"/>
  <c r="H924" i="5"/>
  <c r="I923" i="5"/>
  <c r="H923" i="5"/>
  <c r="I922" i="5"/>
  <c r="H922" i="5"/>
  <c r="I921" i="5"/>
  <c r="H921" i="5"/>
  <c r="I920" i="5"/>
  <c r="H920" i="5"/>
  <c r="I919" i="5"/>
  <c r="H919" i="5"/>
  <c r="I918" i="5"/>
  <c r="H918" i="5"/>
  <c r="I917" i="5"/>
  <c r="H917" i="5"/>
  <c r="I916" i="5"/>
  <c r="H916" i="5"/>
  <c r="I915" i="5"/>
  <c r="H915" i="5"/>
  <c r="I914" i="5"/>
  <c r="H914" i="5"/>
  <c r="I913" i="5"/>
  <c r="H913" i="5"/>
  <c r="I912" i="5"/>
  <c r="H912" i="5"/>
  <c r="I911" i="5"/>
  <c r="H911" i="5"/>
  <c r="I910" i="5"/>
  <c r="H910" i="5"/>
  <c r="I909" i="5"/>
  <c r="H909" i="5"/>
  <c r="I908" i="5"/>
  <c r="H908" i="5"/>
  <c r="I907" i="5"/>
  <c r="H907" i="5"/>
  <c r="I906" i="5"/>
  <c r="H906" i="5"/>
  <c r="I905" i="5"/>
  <c r="H905" i="5"/>
  <c r="I904" i="5"/>
  <c r="H904" i="5"/>
  <c r="I903" i="5"/>
  <c r="H903" i="5"/>
  <c r="I902" i="5"/>
  <c r="H902" i="5"/>
  <c r="I901" i="5"/>
  <c r="H901" i="5"/>
  <c r="I900" i="5"/>
  <c r="H900" i="5"/>
  <c r="I899" i="5"/>
  <c r="H899" i="5"/>
  <c r="I898" i="5"/>
  <c r="H898" i="5"/>
  <c r="I897" i="5"/>
  <c r="H897" i="5"/>
  <c r="I896" i="5"/>
  <c r="H896" i="5"/>
  <c r="I895" i="5"/>
  <c r="H895" i="5"/>
  <c r="I894" i="5"/>
  <c r="H894" i="5"/>
  <c r="I893" i="5"/>
  <c r="H893" i="5"/>
  <c r="I892" i="5"/>
  <c r="H892" i="5"/>
  <c r="I891" i="5"/>
  <c r="H891" i="5"/>
  <c r="I890" i="5"/>
  <c r="H890" i="5"/>
  <c r="I889" i="5"/>
  <c r="H889" i="5"/>
  <c r="I888" i="5"/>
  <c r="H888" i="5"/>
  <c r="I887" i="5"/>
  <c r="H887" i="5"/>
  <c r="I886" i="5"/>
  <c r="H886" i="5"/>
  <c r="I885" i="5"/>
  <c r="H885" i="5"/>
  <c r="I884" i="5"/>
  <c r="H884" i="5"/>
  <c r="I883" i="5"/>
  <c r="H883" i="5"/>
  <c r="I882" i="5"/>
  <c r="H882" i="5"/>
  <c r="I881" i="5"/>
  <c r="H881" i="5"/>
  <c r="I880" i="5"/>
  <c r="H880" i="5"/>
  <c r="I879" i="5"/>
  <c r="H879" i="5"/>
  <c r="I878" i="5"/>
  <c r="H878" i="5"/>
  <c r="I877" i="5"/>
  <c r="H877" i="5"/>
  <c r="I876" i="5"/>
  <c r="H876" i="5"/>
  <c r="I875" i="5"/>
  <c r="H875" i="5"/>
  <c r="I874" i="5"/>
  <c r="H874" i="5"/>
  <c r="I873" i="5"/>
  <c r="H873" i="5"/>
  <c r="I872" i="5"/>
  <c r="H872" i="5"/>
  <c r="I871" i="5"/>
  <c r="H871" i="5"/>
  <c r="I870" i="5"/>
  <c r="H870" i="5"/>
  <c r="I869" i="5"/>
  <c r="H869" i="5"/>
  <c r="I868" i="5"/>
  <c r="H868" i="5"/>
  <c r="I867" i="5"/>
  <c r="H867" i="5"/>
  <c r="I866" i="5"/>
  <c r="H866" i="5"/>
  <c r="I865" i="5"/>
  <c r="H865" i="5"/>
  <c r="I864" i="5"/>
  <c r="H864" i="5"/>
  <c r="I863" i="5"/>
  <c r="H863" i="5"/>
  <c r="I862" i="5"/>
  <c r="H862" i="5"/>
  <c r="I861" i="5"/>
  <c r="H861" i="5"/>
  <c r="I860" i="5"/>
  <c r="H860" i="5"/>
  <c r="I859" i="5"/>
  <c r="H859" i="5"/>
  <c r="I858" i="5"/>
  <c r="H858" i="5"/>
  <c r="I857" i="5"/>
  <c r="H857" i="5"/>
  <c r="I856" i="5"/>
  <c r="H856" i="5"/>
  <c r="I855" i="5"/>
  <c r="H855" i="5"/>
  <c r="I854" i="5"/>
  <c r="H854" i="5"/>
  <c r="I853" i="5"/>
  <c r="H853" i="5"/>
  <c r="I852" i="5"/>
  <c r="H852" i="5"/>
  <c r="I851" i="5"/>
  <c r="H851" i="5"/>
  <c r="I850" i="5"/>
  <c r="H850" i="5"/>
  <c r="I849" i="5"/>
  <c r="H849" i="5"/>
  <c r="I848" i="5"/>
  <c r="H848" i="5"/>
  <c r="I847" i="5"/>
  <c r="H847" i="5"/>
  <c r="I846" i="5"/>
  <c r="H846" i="5"/>
  <c r="I845" i="5"/>
  <c r="H845" i="5"/>
  <c r="I844" i="5"/>
  <c r="H844" i="5"/>
  <c r="I843" i="5"/>
  <c r="H843" i="5"/>
  <c r="I842" i="5"/>
  <c r="H842" i="5"/>
  <c r="I841" i="5"/>
  <c r="H841" i="5"/>
  <c r="I840" i="5"/>
  <c r="H840" i="5"/>
  <c r="I839" i="5"/>
  <c r="H839" i="5"/>
  <c r="I838" i="5"/>
  <c r="H838" i="5"/>
  <c r="I837" i="5"/>
  <c r="H837" i="5"/>
  <c r="I836" i="5"/>
  <c r="H836" i="5"/>
  <c r="I835" i="5"/>
  <c r="H835" i="5"/>
  <c r="I834" i="5"/>
  <c r="H834" i="5"/>
  <c r="I833" i="5"/>
  <c r="H833" i="5"/>
  <c r="I832" i="5"/>
  <c r="H832" i="5"/>
  <c r="I831" i="5"/>
  <c r="H831" i="5"/>
  <c r="I830" i="5"/>
  <c r="H830" i="5"/>
  <c r="I829" i="5"/>
  <c r="H829" i="5"/>
  <c r="I828" i="5"/>
  <c r="H828" i="5"/>
  <c r="I827" i="5"/>
  <c r="H827" i="5"/>
  <c r="I826" i="5"/>
  <c r="H826" i="5"/>
  <c r="I825" i="5"/>
  <c r="H825" i="5"/>
  <c r="I824" i="5"/>
  <c r="H824" i="5"/>
  <c r="I823" i="5"/>
  <c r="H823" i="5"/>
  <c r="I822" i="5"/>
  <c r="H822" i="5"/>
  <c r="I821" i="5"/>
  <c r="H821" i="5"/>
  <c r="I820" i="5"/>
  <c r="H820" i="5"/>
  <c r="I819" i="5"/>
  <c r="H819" i="5"/>
  <c r="I818" i="5"/>
  <c r="H818" i="5"/>
  <c r="I817" i="5"/>
  <c r="H817" i="5"/>
  <c r="I816" i="5"/>
  <c r="H816" i="5"/>
  <c r="I815" i="5"/>
  <c r="H815" i="5"/>
  <c r="I814" i="5"/>
  <c r="H814" i="5"/>
  <c r="I813" i="5"/>
  <c r="H813" i="5"/>
  <c r="I812" i="5"/>
  <c r="H812" i="5"/>
  <c r="I811" i="5"/>
  <c r="H811" i="5"/>
  <c r="I810" i="5"/>
  <c r="H810" i="5"/>
  <c r="I809" i="5"/>
  <c r="H809" i="5"/>
  <c r="I808" i="5"/>
  <c r="H808" i="5"/>
  <c r="I807" i="5"/>
  <c r="H807" i="5"/>
  <c r="I806" i="5"/>
  <c r="H806" i="5"/>
  <c r="I805" i="5"/>
  <c r="H805" i="5"/>
  <c r="I804" i="5"/>
  <c r="H804" i="5"/>
  <c r="I803" i="5"/>
  <c r="H803" i="5"/>
  <c r="I802" i="5"/>
  <c r="H802" i="5"/>
  <c r="I801" i="5"/>
  <c r="H801" i="5"/>
  <c r="I800" i="5"/>
  <c r="H800" i="5"/>
  <c r="I799" i="5"/>
  <c r="H799" i="5"/>
  <c r="I798" i="5"/>
  <c r="H798" i="5"/>
  <c r="I797" i="5"/>
  <c r="H797" i="5"/>
  <c r="I796" i="5"/>
  <c r="H796" i="5"/>
  <c r="I795" i="5"/>
  <c r="H795" i="5"/>
  <c r="I794" i="5"/>
  <c r="H794" i="5"/>
  <c r="I793" i="5"/>
  <c r="H793" i="5"/>
  <c r="I792" i="5"/>
  <c r="H792" i="5"/>
  <c r="I791" i="5"/>
  <c r="H791" i="5"/>
  <c r="I790" i="5"/>
  <c r="H790" i="5"/>
  <c r="I789" i="5"/>
  <c r="H789" i="5"/>
  <c r="I788" i="5"/>
  <c r="H788" i="5"/>
  <c r="I787" i="5"/>
  <c r="H787" i="5"/>
  <c r="I786" i="5"/>
  <c r="H786" i="5"/>
  <c r="I785" i="5"/>
  <c r="H785" i="5"/>
  <c r="I784" i="5"/>
  <c r="H784" i="5"/>
  <c r="I783" i="5"/>
  <c r="H783" i="5"/>
  <c r="I782" i="5"/>
  <c r="H782" i="5"/>
  <c r="I781" i="5"/>
  <c r="H781" i="5"/>
  <c r="I780" i="5"/>
  <c r="H780" i="5"/>
  <c r="I779" i="5"/>
  <c r="H779" i="5"/>
  <c r="I778" i="5"/>
  <c r="H778" i="5"/>
  <c r="I777" i="5"/>
  <c r="H777" i="5"/>
  <c r="I776" i="5"/>
  <c r="H776" i="5"/>
  <c r="I775" i="5"/>
  <c r="H775" i="5"/>
  <c r="I774" i="5"/>
  <c r="H774" i="5"/>
  <c r="I773" i="5"/>
  <c r="H773" i="5"/>
  <c r="I772" i="5"/>
  <c r="H772" i="5"/>
  <c r="I771" i="5"/>
  <c r="H771" i="5"/>
  <c r="I770" i="5"/>
  <c r="H770" i="5"/>
  <c r="I769" i="5"/>
  <c r="H769" i="5"/>
  <c r="I768" i="5"/>
  <c r="H768" i="5"/>
  <c r="I767" i="5"/>
  <c r="H767" i="5"/>
  <c r="I766" i="5"/>
  <c r="H766" i="5"/>
  <c r="I765" i="5"/>
  <c r="H765" i="5"/>
  <c r="I764" i="5"/>
  <c r="H764" i="5"/>
  <c r="I763" i="5"/>
  <c r="H763" i="5"/>
  <c r="I762" i="5"/>
  <c r="H762" i="5"/>
  <c r="I761" i="5"/>
  <c r="H761" i="5"/>
  <c r="I760" i="5"/>
  <c r="H760" i="5"/>
  <c r="I759" i="5"/>
  <c r="H759" i="5"/>
  <c r="I758" i="5"/>
  <c r="H758" i="5"/>
  <c r="I757" i="5"/>
  <c r="H757" i="5"/>
  <c r="I756" i="5"/>
  <c r="H756" i="5"/>
  <c r="I755" i="5"/>
  <c r="H755" i="5"/>
  <c r="I754" i="5"/>
  <c r="H754" i="5"/>
  <c r="I753" i="5"/>
  <c r="H753" i="5"/>
  <c r="I752" i="5"/>
  <c r="H752" i="5"/>
  <c r="I751" i="5"/>
  <c r="H751" i="5"/>
  <c r="I750" i="5"/>
  <c r="H750" i="5"/>
  <c r="I749" i="5"/>
  <c r="H749" i="5"/>
  <c r="I748" i="5"/>
  <c r="H748" i="5"/>
  <c r="I747" i="5"/>
  <c r="H747" i="5"/>
  <c r="I746" i="5"/>
  <c r="H746" i="5"/>
  <c r="I745" i="5"/>
  <c r="H745" i="5"/>
  <c r="I744" i="5"/>
  <c r="H744" i="5"/>
  <c r="I743" i="5"/>
  <c r="H743" i="5"/>
  <c r="I742" i="5"/>
  <c r="H742" i="5"/>
  <c r="I741" i="5"/>
  <c r="H741" i="5"/>
  <c r="I740" i="5"/>
  <c r="H740" i="5"/>
  <c r="I739" i="5"/>
  <c r="H739" i="5"/>
  <c r="I738" i="5"/>
  <c r="H738" i="5"/>
  <c r="I737" i="5"/>
  <c r="H737" i="5"/>
  <c r="I736" i="5"/>
  <c r="H736" i="5"/>
  <c r="I735" i="5"/>
  <c r="H735" i="5"/>
  <c r="I734" i="5"/>
  <c r="H734" i="5"/>
  <c r="I733" i="5"/>
  <c r="H733" i="5"/>
  <c r="I732" i="5"/>
  <c r="H732" i="5"/>
  <c r="I731" i="5"/>
  <c r="H731" i="5"/>
  <c r="I730" i="5"/>
  <c r="H730" i="5"/>
  <c r="I729" i="5"/>
  <c r="H729" i="5"/>
  <c r="I728" i="5"/>
  <c r="H728" i="5"/>
  <c r="I727" i="5"/>
  <c r="H727" i="5"/>
  <c r="I726" i="5"/>
  <c r="H726" i="5"/>
  <c r="I725" i="5"/>
  <c r="H725" i="5"/>
  <c r="I724" i="5"/>
  <c r="H724" i="5"/>
  <c r="I723" i="5"/>
  <c r="H723" i="5"/>
  <c r="I722" i="5"/>
  <c r="H722" i="5"/>
  <c r="I721" i="5"/>
  <c r="H721" i="5"/>
  <c r="I720" i="5"/>
  <c r="H720" i="5"/>
  <c r="I719" i="5"/>
  <c r="H719" i="5"/>
  <c r="I718" i="5"/>
  <c r="H718" i="5"/>
  <c r="I717" i="5"/>
  <c r="H717" i="5"/>
  <c r="I716" i="5"/>
  <c r="H716" i="5"/>
  <c r="I715" i="5"/>
  <c r="H715" i="5"/>
  <c r="I714" i="5"/>
  <c r="H714" i="5"/>
  <c r="I713" i="5"/>
  <c r="H713" i="5"/>
  <c r="I712" i="5"/>
  <c r="H712" i="5"/>
  <c r="I711" i="5"/>
  <c r="H711" i="5"/>
  <c r="I710" i="5"/>
  <c r="H710" i="5"/>
  <c r="I709" i="5"/>
  <c r="H709" i="5"/>
  <c r="I708" i="5"/>
  <c r="H708" i="5"/>
  <c r="I707" i="5"/>
  <c r="H707" i="5"/>
  <c r="I706" i="5"/>
  <c r="H706" i="5"/>
  <c r="I705" i="5"/>
  <c r="H705" i="5"/>
  <c r="I704" i="5"/>
  <c r="H704" i="5"/>
  <c r="I703" i="5"/>
  <c r="H703" i="5"/>
  <c r="I702" i="5"/>
  <c r="H702" i="5"/>
  <c r="I701" i="5"/>
  <c r="H701" i="5"/>
  <c r="I700" i="5"/>
  <c r="H700" i="5"/>
  <c r="I699" i="5"/>
  <c r="H699" i="5"/>
  <c r="I698" i="5"/>
  <c r="H698" i="5"/>
  <c r="I697" i="5"/>
  <c r="H697" i="5"/>
  <c r="I696" i="5"/>
  <c r="H696" i="5"/>
  <c r="I695" i="5"/>
  <c r="H695" i="5"/>
  <c r="I694" i="5"/>
  <c r="H694" i="5"/>
  <c r="I693" i="5"/>
  <c r="H693" i="5"/>
  <c r="I692" i="5"/>
  <c r="H692" i="5"/>
  <c r="I691" i="5"/>
  <c r="H691" i="5"/>
  <c r="I690" i="5"/>
  <c r="H690" i="5"/>
  <c r="I689" i="5"/>
  <c r="H689" i="5"/>
  <c r="I688" i="5"/>
  <c r="H688" i="5"/>
  <c r="I687" i="5"/>
  <c r="H687" i="5"/>
  <c r="I686" i="5"/>
  <c r="H686" i="5"/>
  <c r="I685" i="5"/>
  <c r="H685" i="5"/>
  <c r="I684" i="5"/>
  <c r="H684" i="5"/>
  <c r="I683" i="5"/>
  <c r="H683" i="5"/>
  <c r="I682" i="5"/>
  <c r="H682" i="5"/>
  <c r="I681" i="5"/>
  <c r="H681" i="5"/>
  <c r="I680" i="5"/>
  <c r="H680" i="5"/>
  <c r="I679" i="5"/>
  <c r="H679" i="5"/>
  <c r="I678" i="5"/>
  <c r="H678" i="5"/>
  <c r="I677" i="5"/>
  <c r="H677" i="5"/>
  <c r="I676" i="5"/>
  <c r="H676" i="5"/>
  <c r="I675" i="5"/>
  <c r="H675" i="5"/>
  <c r="I674" i="5"/>
  <c r="H674" i="5"/>
  <c r="I673" i="5"/>
  <c r="H673" i="5"/>
  <c r="I672" i="5"/>
  <c r="H672" i="5"/>
  <c r="I671" i="5"/>
  <c r="H671" i="5"/>
  <c r="I670" i="5"/>
  <c r="H670" i="5"/>
  <c r="I669" i="5"/>
  <c r="H669" i="5"/>
  <c r="I668" i="5"/>
  <c r="H668" i="5"/>
  <c r="I667" i="5"/>
  <c r="H667" i="5"/>
  <c r="I666" i="5"/>
  <c r="H666" i="5"/>
  <c r="I665" i="5"/>
  <c r="H665" i="5"/>
  <c r="I664" i="5"/>
  <c r="H664" i="5"/>
  <c r="I663" i="5"/>
  <c r="H663" i="5"/>
  <c r="I662" i="5"/>
  <c r="H662" i="5"/>
  <c r="I661" i="5"/>
  <c r="H661" i="5"/>
  <c r="I660" i="5"/>
  <c r="H660" i="5"/>
  <c r="I659" i="5"/>
  <c r="H659" i="5"/>
  <c r="I658" i="5"/>
  <c r="H658" i="5"/>
  <c r="I657" i="5"/>
  <c r="H657" i="5"/>
  <c r="I656" i="5"/>
  <c r="H656" i="5"/>
  <c r="I655" i="5"/>
  <c r="H655" i="5"/>
  <c r="I654" i="5"/>
  <c r="H654" i="5"/>
  <c r="I653" i="5"/>
  <c r="H653" i="5"/>
  <c r="I652" i="5"/>
  <c r="H652" i="5"/>
  <c r="I651" i="5"/>
  <c r="H651" i="5"/>
  <c r="I650" i="5"/>
  <c r="H650" i="5"/>
  <c r="I649" i="5"/>
  <c r="H649" i="5"/>
  <c r="I648" i="5"/>
  <c r="H648" i="5"/>
  <c r="I647" i="5"/>
  <c r="H647" i="5"/>
  <c r="I646" i="5"/>
  <c r="H646" i="5"/>
  <c r="I645" i="5"/>
  <c r="H645" i="5"/>
  <c r="I644" i="5"/>
  <c r="H644" i="5"/>
  <c r="I643" i="5"/>
  <c r="H643" i="5"/>
  <c r="I642" i="5"/>
  <c r="H642" i="5"/>
  <c r="I641" i="5"/>
  <c r="H641" i="5"/>
  <c r="I640" i="5"/>
  <c r="H640" i="5"/>
  <c r="I639" i="5"/>
  <c r="H639" i="5"/>
  <c r="I638" i="5"/>
  <c r="H638" i="5"/>
  <c r="I637" i="5"/>
  <c r="H637" i="5"/>
  <c r="I636" i="5"/>
  <c r="H636" i="5"/>
  <c r="I635" i="5"/>
  <c r="H635" i="5"/>
  <c r="I634" i="5"/>
  <c r="H634" i="5"/>
  <c r="I633" i="5"/>
  <c r="H633" i="5"/>
  <c r="I632" i="5"/>
  <c r="H632" i="5"/>
  <c r="I631" i="5"/>
  <c r="H631" i="5"/>
  <c r="I630" i="5"/>
  <c r="H630" i="5"/>
  <c r="I629" i="5"/>
  <c r="H629" i="5"/>
  <c r="I628" i="5"/>
  <c r="H628" i="5"/>
  <c r="I627" i="5"/>
  <c r="H627" i="5"/>
  <c r="I626" i="5"/>
  <c r="H626" i="5"/>
  <c r="I625" i="5"/>
  <c r="H625" i="5"/>
  <c r="I624" i="5"/>
  <c r="H624" i="5"/>
  <c r="I623" i="5"/>
  <c r="H623" i="5"/>
  <c r="I622" i="5"/>
  <c r="H622" i="5"/>
  <c r="I621" i="5"/>
  <c r="H621" i="5"/>
  <c r="I620" i="5"/>
  <c r="H620" i="5"/>
  <c r="I619" i="5"/>
  <c r="H619" i="5"/>
  <c r="I618" i="5"/>
  <c r="H618" i="5"/>
  <c r="I617" i="5"/>
  <c r="H617" i="5"/>
  <c r="I616" i="5"/>
  <c r="H616" i="5"/>
  <c r="I615" i="5"/>
  <c r="H615" i="5"/>
  <c r="I614" i="5"/>
  <c r="H614" i="5"/>
  <c r="I613" i="5"/>
  <c r="H613" i="5"/>
  <c r="I612" i="5"/>
  <c r="H612" i="5"/>
  <c r="I611" i="5"/>
  <c r="H611" i="5"/>
  <c r="I610" i="5"/>
  <c r="H610" i="5"/>
  <c r="I609" i="5"/>
  <c r="H609" i="5"/>
  <c r="I608" i="5"/>
  <c r="H608" i="5"/>
  <c r="I607" i="5"/>
  <c r="H607" i="5"/>
  <c r="I606" i="5"/>
  <c r="H606" i="5"/>
  <c r="I605" i="5"/>
  <c r="H605" i="5"/>
  <c r="I604" i="5"/>
  <c r="H604" i="5"/>
  <c r="I603" i="5"/>
  <c r="H603" i="5"/>
  <c r="I602" i="5"/>
  <c r="H602" i="5"/>
  <c r="I601" i="5"/>
  <c r="H601" i="5"/>
  <c r="I600" i="5"/>
  <c r="H600" i="5"/>
  <c r="I599" i="5"/>
  <c r="H599" i="5"/>
  <c r="I598" i="5"/>
  <c r="H598" i="5"/>
  <c r="I597" i="5"/>
  <c r="H597" i="5"/>
  <c r="I596" i="5"/>
  <c r="H596" i="5"/>
  <c r="I595" i="5"/>
  <c r="H595" i="5"/>
  <c r="I594" i="5"/>
  <c r="H594" i="5"/>
  <c r="I593" i="5"/>
  <c r="H593" i="5"/>
  <c r="I592" i="5"/>
  <c r="H592" i="5"/>
  <c r="I591" i="5"/>
  <c r="H591" i="5"/>
  <c r="I590" i="5"/>
  <c r="H590" i="5"/>
  <c r="I589" i="5"/>
  <c r="H589" i="5"/>
  <c r="I588" i="5"/>
  <c r="H588" i="5"/>
  <c r="I587" i="5"/>
  <c r="H587" i="5"/>
  <c r="I586" i="5"/>
  <c r="H586" i="5"/>
  <c r="I585" i="5"/>
  <c r="H585" i="5"/>
  <c r="I584" i="5"/>
  <c r="H584" i="5"/>
  <c r="I583" i="5"/>
  <c r="H583" i="5"/>
  <c r="I582" i="5"/>
  <c r="H582" i="5"/>
  <c r="I581" i="5"/>
  <c r="H581" i="5"/>
  <c r="I580" i="5"/>
  <c r="H580" i="5"/>
  <c r="I579" i="5"/>
  <c r="H579" i="5"/>
  <c r="I578" i="5"/>
  <c r="H578" i="5"/>
  <c r="I577" i="5"/>
  <c r="H577" i="5"/>
  <c r="I576" i="5"/>
  <c r="H576" i="5"/>
  <c r="I575" i="5"/>
  <c r="H575" i="5"/>
  <c r="I574" i="5"/>
  <c r="H574" i="5"/>
  <c r="I573" i="5"/>
  <c r="H573" i="5"/>
  <c r="I572" i="5"/>
  <c r="H572" i="5"/>
  <c r="I571" i="5"/>
  <c r="H571" i="5"/>
  <c r="I570" i="5"/>
  <c r="H570" i="5"/>
  <c r="I569" i="5"/>
  <c r="H569" i="5"/>
  <c r="I568" i="5"/>
  <c r="H568" i="5"/>
  <c r="I567" i="5"/>
  <c r="H567" i="5"/>
  <c r="I566" i="5"/>
  <c r="H566" i="5"/>
  <c r="I565" i="5"/>
  <c r="H565" i="5"/>
  <c r="I564" i="5"/>
  <c r="H564" i="5"/>
  <c r="I563" i="5"/>
  <c r="H563" i="5"/>
  <c r="I562" i="5"/>
  <c r="H562" i="5"/>
  <c r="I561" i="5"/>
  <c r="H561" i="5"/>
  <c r="I560" i="5"/>
  <c r="H560" i="5"/>
  <c r="I559" i="5"/>
  <c r="H559" i="5"/>
  <c r="I558" i="5"/>
  <c r="H558" i="5"/>
  <c r="I557" i="5"/>
  <c r="H557" i="5"/>
  <c r="I556" i="5"/>
  <c r="H556" i="5"/>
  <c r="I555" i="5"/>
  <c r="H555" i="5"/>
  <c r="I554" i="5"/>
  <c r="H554" i="5"/>
  <c r="I553" i="5"/>
  <c r="H553" i="5"/>
  <c r="I552" i="5"/>
  <c r="H552" i="5"/>
  <c r="I551" i="5"/>
  <c r="H551" i="5"/>
  <c r="I550" i="5"/>
  <c r="H550" i="5"/>
  <c r="I549" i="5"/>
  <c r="H549" i="5"/>
  <c r="I548" i="5"/>
  <c r="H548" i="5"/>
  <c r="I547" i="5"/>
  <c r="H547" i="5"/>
  <c r="I546" i="5"/>
  <c r="H546" i="5"/>
  <c r="I545" i="5"/>
  <c r="H545" i="5"/>
  <c r="I544" i="5"/>
  <c r="H544" i="5"/>
  <c r="I543" i="5"/>
  <c r="H543" i="5"/>
  <c r="I542" i="5"/>
  <c r="H542" i="5"/>
  <c r="I541" i="5"/>
  <c r="H541" i="5"/>
  <c r="I540" i="5"/>
  <c r="H540" i="5"/>
  <c r="I539" i="5"/>
  <c r="H539" i="5"/>
  <c r="I538" i="5"/>
  <c r="H538" i="5"/>
  <c r="I537" i="5"/>
  <c r="H537" i="5"/>
  <c r="I536" i="5"/>
  <c r="H536" i="5"/>
  <c r="I535" i="5"/>
  <c r="H535" i="5"/>
  <c r="I534" i="5"/>
  <c r="H534" i="5"/>
  <c r="I533" i="5"/>
  <c r="H533" i="5"/>
  <c r="I532" i="5"/>
  <c r="H532" i="5"/>
  <c r="I531" i="5"/>
  <c r="H531" i="5"/>
  <c r="I530" i="5"/>
  <c r="H530" i="5"/>
  <c r="I529" i="5"/>
  <c r="H529" i="5"/>
  <c r="I528" i="5"/>
  <c r="H528" i="5"/>
  <c r="I527" i="5"/>
  <c r="H527" i="5"/>
  <c r="I526" i="5"/>
  <c r="H526" i="5"/>
  <c r="I525" i="5"/>
  <c r="H525" i="5"/>
  <c r="I524" i="5"/>
  <c r="H524" i="5"/>
  <c r="I523" i="5"/>
  <c r="H523" i="5"/>
  <c r="I522" i="5"/>
  <c r="H522" i="5"/>
  <c r="I521" i="5"/>
  <c r="H521" i="5"/>
  <c r="I520" i="5"/>
  <c r="H520" i="5"/>
  <c r="I519" i="5"/>
  <c r="H519" i="5"/>
  <c r="I518" i="5"/>
  <c r="H518" i="5"/>
  <c r="I517" i="5"/>
  <c r="H517" i="5"/>
  <c r="I516" i="5"/>
  <c r="H516" i="5"/>
  <c r="I515" i="5"/>
  <c r="H515" i="5"/>
  <c r="I514" i="5"/>
  <c r="H514" i="5"/>
  <c r="I513" i="5"/>
  <c r="H513" i="5"/>
  <c r="I512" i="5"/>
  <c r="H512" i="5"/>
  <c r="I511" i="5"/>
  <c r="H511" i="5"/>
  <c r="I510" i="5"/>
  <c r="H510" i="5"/>
  <c r="I509" i="5"/>
  <c r="H509" i="5"/>
  <c r="I508" i="5"/>
  <c r="H508" i="5"/>
  <c r="I507" i="5"/>
  <c r="H507" i="5"/>
  <c r="I506" i="5"/>
  <c r="H506" i="5"/>
  <c r="I505" i="5"/>
  <c r="H505" i="5"/>
  <c r="I504" i="5"/>
  <c r="H504" i="5"/>
  <c r="I503" i="5"/>
  <c r="H503" i="5"/>
  <c r="I502" i="5"/>
  <c r="H502" i="5"/>
  <c r="I501" i="5"/>
  <c r="H501" i="5"/>
  <c r="I500" i="5"/>
  <c r="H500" i="5"/>
  <c r="I499" i="5"/>
  <c r="H499" i="5"/>
  <c r="I498" i="5"/>
  <c r="H498" i="5"/>
  <c r="I497" i="5"/>
  <c r="H497" i="5"/>
  <c r="I496" i="5"/>
  <c r="H496" i="5"/>
  <c r="I495" i="5"/>
  <c r="H495" i="5"/>
  <c r="I494" i="5"/>
  <c r="H494" i="5"/>
  <c r="I493" i="5"/>
  <c r="H493" i="5"/>
  <c r="I492" i="5"/>
  <c r="H492" i="5"/>
  <c r="I491" i="5"/>
  <c r="H491" i="5"/>
  <c r="I490" i="5"/>
  <c r="H490" i="5"/>
  <c r="I489" i="5"/>
  <c r="H489" i="5"/>
  <c r="I488" i="5"/>
  <c r="H488" i="5"/>
  <c r="I487" i="5"/>
  <c r="H487" i="5"/>
  <c r="I486" i="5"/>
  <c r="H486" i="5"/>
  <c r="I485" i="5"/>
  <c r="H485" i="5"/>
  <c r="I484" i="5"/>
  <c r="H484" i="5"/>
  <c r="I483" i="5"/>
  <c r="H483" i="5"/>
  <c r="I482" i="5"/>
  <c r="H482" i="5"/>
  <c r="I481" i="5"/>
  <c r="H481" i="5"/>
  <c r="I480" i="5"/>
  <c r="H480" i="5"/>
  <c r="I479" i="5"/>
  <c r="H479" i="5"/>
  <c r="I478" i="5"/>
  <c r="H478" i="5"/>
  <c r="I477" i="5"/>
  <c r="H477" i="5"/>
  <c r="I476" i="5"/>
  <c r="H476" i="5"/>
  <c r="I475" i="5"/>
  <c r="H475" i="5"/>
  <c r="I474" i="5"/>
  <c r="H474" i="5"/>
  <c r="I473" i="5"/>
  <c r="H473" i="5"/>
  <c r="I472" i="5"/>
  <c r="H472" i="5"/>
  <c r="I471" i="5"/>
  <c r="H471" i="5"/>
  <c r="I470" i="5"/>
  <c r="H470" i="5"/>
  <c r="I469" i="5"/>
  <c r="H469" i="5"/>
  <c r="I468" i="5"/>
  <c r="H468" i="5"/>
  <c r="I467" i="5"/>
  <c r="H467" i="5"/>
  <c r="I466" i="5"/>
  <c r="H466" i="5"/>
  <c r="I465" i="5"/>
  <c r="H465" i="5"/>
  <c r="I464" i="5"/>
  <c r="H464" i="5"/>
  <c r="I463" i="5"/>
  <c r="H463" i="5"/>
  <c r="I462" i="5"/>
  <c r="H462" i="5"/>
  <c r="I461" i="5"/>
  <c r="H461" i="5"/>
  <c r="I460" i="5"/>
  <c r="H460" i="5"/>
  <c r="I459" i="5"/>
  <c r="H459" i="5"/>
  <c r="I458" i="5"/>
  <c r="H458" i="5"/>
  <c r="I457" i="5"/>
  <c r="H457" i="5"/>
  <c r="I456" i="5"/>
  <c r="H456" i="5"/>
  <c r="I455" i="5"/>
  <c r="H455" i="5"/>
  <c r="I454" i="5"/>
  <c r="H454" i="5"/>
  <c r="I453" i="5"/>
  <c r="H453" i="5"/>
  <c r="I452" i="5"/>
  <c r="H452" i="5"/>
  <c r="I451" i="5"/>
  <c r="H451" i="5"/>
  <c r="I450" i="5"/>
  <c r="H450" i="5"/>
  <c r="I449" i="5"/>
  <c r="H449" i="5"/>
  <c r="I448" i="5"/>
  <c r="H448" i="5"/>
  <c r="I447" i="5"/>
  <c r="H447" i="5"/>
  <c r="I446" i="5"/>
  <c r="H446" i="5"/>
  <c r="I445" i="5"/>
  <c r="H445" i="5"/>
  <c r="I444" i="5"/>
  <c r="H444" i="5"/>
  <c r="I443" i="5"/>
  <c r="H443" i="5"/>
  <c r="I442" i="5"/>
  <c r="H442" i="5"/>
  <c r="I441" i="5"/>
  <c r="H441" i="5"/>
  <c r="I440" i="5"/>
  <c r="H440" i="5"/>
  <c r="I439" i="5"/>
  <c r="H439" i="5"/>
  <c r="I438" i="5"/>
  <c r="H438" i="5"/>
  <c r="I437" i="5"/>
  <c r="H437" i="5"/>
  <c r="I436" i="5"/>
  <c r="H436" i="5"/>
  <c r="I435" i="5"/>
  <c r="H435" i="5"/>
  <c r="I434" i="5"/>
  <c r="H434" i="5"/>
  <c r="I433" i="5"/>
  <c r="H433" i="5"/>
  <c r="I432" i="5"/>
  <c r="H432" i="5"/>
  <c r="I431" i="5"/>
  <c r="H431" i="5"/>
  <c r="I430" i="5"/>
  <c r="H430" i="5"/>
  <c r="I429" i="5"/>
  <c r="H429" i="5"/>
  <c r="I428" i="5"/>
  <c r="H428" i="5"/>
  <c r="I427" i="5"/>
  <c r="H427" i="5"/>
  <c r="I426" i="5"/>
  <c r="H426" i="5"/>
  <c r="I425" i="5"/>
  <c r="H425" i="5"/>
  <c r="I424" i="5"/>
  <c r="H424" i="5"/>
  <c r="I423" i="5"/>
  <c r="H423" i="5"/>
  <c r="I422" i="5"/>
  <c r="H422" i="5"/>
  <c r="I421" i="5"/>
  <c r="H421" i="5"/>
  <c r="I420" i="5"/>
  <c r="H420" i="5"/>
  <c r="I419" i="5"/>
  <c r="H419" i="5"/>
  <c r="I418" i="5"/>
  <c r="H418" i="5"/>
  <c r="I417" i="5"/>
  <c r="H417" i="5"/>
  <c r="I416" i="5"/>
  <c r="H416" i="5"/>
  <c r="I415" i="5"/>
  <c r="H415" i="5"/>
  <c r="I414" i="5"/>
  <c r="H414" i="5"/>
  <c r="I413" i="5"/>
  <c r="H413" i="5"/>
  <c r="I412" i="5"/>
  <c r="H412" i="5"/>
  <c r="I411" i="5"/>
  <c r="H411" i="5"/>
  <c r="I410" i="5"/>
  <c r="H410" i="5"/>
  <c r="I409" i="5"/>
  <c r="H409" i="5"/>
  <c r="I408" i="5"/>
  <c r="H408" i="5"/>
  <c r="I407" i="5"/>
  <c r="H407" i="5"/>
  <c r="I406" i="5"/>
  <c r="H406" i="5"/>
  <c r="I405" i="5"/>
  <c r="H405" i="5"/>
  <c r="I404" i="5"/>
  <c r="H404" i="5"/>
  <c r="I403" i="5"/>
  <c r="H403" i="5"/>
  <c r="I402" i="5"/>
  <c r="H402" i="5"/>
  <c r="I401" i="5"/>
  <c r="H401" i="5"/>
  <c r="I400" i="5"/>
  <c r="H400" i="5"/>
  <c r="I399" i="5"/>
  <c r="H399" i="5"/>
  <c r="I398" i="5"/>
  <c r="H398" i="5"/>
  <c r="I397" i="5"/>
  <c r="H397" i="5"/>
  <c r="I396" i="5"/>
  <c r="H396" i="5"/>
  <c r="I395" i="5"/>
  <c r="H395" i="5"/>
  <c r="I394" i="5"/>
  <c r="H394" i="5"/>
  <c r="I393" i="5"/>
  <c r="H393" i="5"/>
  <c r="I392" i="5"/>
  <c r="H392" i="5"/>
  <c r="I391" i="5"/>
  <c r="H391" i="5"/>
  <c r="I390" i="5"/>
  <c r="H390" i="5"/>
  <c r="I389" i="5"/>
  <c r="H389" i="5"/>
  <c r="I388" i="5"/>
  <c r="H388" i="5"/>
  <c r="I387" i="5"/>
  <c r="H387" i="5"/>
  <c r="I386" i="5"/>
  <c r="H386" i="5"/>
  <c r="I385" i="5"/>
  <c r="H385" i="5"/>
  <c r="I384" i="5"/>
  <c r="H384" i="5"/>
  <c r="I383" i="5"/>
  <c r="H383" i="5"/>
  <c r="I382" i="5"/>
  <c r="H382" i="5"/>
  <c r="I381" i="5"/>
  <c r="H381" i="5"/>
  <c r="I380" i="5"/>
  <c r="H380" i="5"/>
  <c r="I379" i="5"/>
  <c r="H379" i="5"/>
  <c r="I378" i="5"/>
  <c r="H378" i="5"/>
  <c r="I377" i="5"/>
  <c r="H377" i="5"/>
  <c r="I376" i="5"/>
  <c r="H376" i="5"/>
  <c r="I375" i="5"/>
  <c r="H375" i="5"/>
  <c r="I374" i="5"/>
  <c r="H374" i="5"/>
  <c r="I373" i="5"/>
  <c r="H373" i="5"/>
  <c r="I372" i="5"/>
  <c r="H372" i="5"/>
  <c r="I371" i="5"/>
  <c r="H371" i="5"/>
  <c r="I370" i="5"/>
  <c r="H370" i="5"/>
  <c r="I369" i="5"/>
  <c r="H369" i="5"/>
  <c r="I368" i="5"/>
  <c r="H368" i="5"/>
  <c r="I367" i="5"/>
  <c r="H367" i="5"/>
  <c r="I366" i="5"/>
  <c r="H366" i="5"/>
  <c r="I365" i="5"/>
  <c r="H365" i="5"/>
  <c r="I364" i="5"/>
  <c r="H364" i="5"/>
  <c r="I363" i="5"/>
  <c r="H363" i="5"/>
  <c r="I362" i="5"/>
  <c r="H362" i="5"/>
  <c r="I361" i="5"/>
  <c r="H361" i="5"/>
  <c r="I360" i="5"/>
  <c r="H360" i="5"/>
  <c r="I359" i="5"/>
  <c r="H359" i="5"/>
  <c r="I358" i="5"/>
  <c r="H358" i="5"/>
  <c r="I357" i="5"/>
  <c r="H357" i="5"/>
  <c r="I356" i="5"/>
  <c r="H356" i="5"/>
  <c r="I355" i="5"/>
  <c r="H355" i="5"/>
  <c r="I354" i="5"/>
  <c r="H354" i="5"/>
  <c r="I353" i="5"/>
  <c r="H353" i="5"/>
  <c r="I352" i="5"/>
  <c r="H352" i="5"/>
  <c r="I351" i="5"/>
  <c r="H351" i="5"/>
  <c r="I350" i="5"/>
  <c r="H350" i="5"/>
  <c r="I349" i="5"/>
  <c r="H349" i="5"/>
  <c r="I348" i="5"/>
  <c r="H348" i="5"/>
  <c r="I347" i="5"/>
  <c r="H347" i="5"/>
  <c r="I346" i="5"/>
  <c r="H346" i="5"/>
  <c r="I345" i="5"/>
  <c r="H345" i="5"/>
  <c r="I344" i="5"/>
  <c r="H344" i="5"/>
  <c r="I343" i="5"/>
  <c r="H343" i="5"/>
  <c r="I342" i="5"/>
  <c r="H342" i="5"/>
  <c r="I341" i="5"/>
  <c r="H341" i="5"/>
  <c r="I340" i="5"/>
  <c r="H340" i="5"/>
  <c r="I339" i="5"/>
  <c r="H339" i="5"/>
  <c r="I338" i="5"/>
  <c r="H338" i="5"/>
  <c r="I337" i="5"/>
  <c r="H337" i="5"/>
  <c r="I336" i="5"/>
  <c r="H336" i="5"/>
  <c r="I335" i="5"/>
  <c r="H335" i="5"/>
  <c r="I334" i="5"/>
  <c r="H334" i="5"/>
  <c r="I333" i="5"/>
  <c r="H333" i="5"/>
  <c r="I332" i="5"/>
  <c r="H332" i="5"/>
  <c r="I331" i="5"/>
  <c r="H331" i="5"/>
  <c r="I330" i="5"/>
  <c r="H330" i="5"/>
  <c r="I329" i="5"/>
  <c r="H329" i="5"/>
  <c r="I328" i="5"/>
  <c r="H328" i="5"/>
  <c r="I327" i="5"/>
  <c r="H327" i="5"/>
  <c r="I326" i="5"/>
  <c r="H326" i="5"/>
  <c r="I325" i="5"/>
  <c r="H325" i="5"/>
  <c r="I324" i="5"/>
  <c r="H324" i="5"/>
  <c r="I323" i="5"/>
  <c r="H323" i="5"/>
  <c r="I322" i="5"/>
  <c r="H322" i="5"/>
  <c r="I321" i="5"/>
  <c r="H321" i="5"/>
  <c r="I320" i="5"/>
  <c r="H320" i="5"/>
  <c r="I319" i="5"/>
  <c r="H319" i="5"/>
  <c r="I318" i="5"/>
  <c r="H318" i="5"/>
  <c r="I317" i="5"/>
  <c r="H317" i="5"/>
  <c r="I316" i="5"/>
  <c r="H316" i="5"/>
  <c r="I315" i="5"/>
  <c r="H315" i="5"/>
  <c r="I314" i="5"/>
  <c r="H314" i="5"/>
  <c r="I313" i="5"/>
  <c r="H313" i="5"/>
  <c r="I312" i="5"/>
  <c r="H312" i="5"/>
  <c r="I311" i="5"/>
  <c r="H311" i="5"/>
  <c r="I310" i="5"/>
  <c r="H310" i="5"/>
  <c r="I309" i="5"/>
  <c r="H309" i="5"/>
  <c r="I308" i="5"/>
  <c r="H308" i="5"/>
  <c r="I307" i="5"/>
  <c r="H307" i="5"/>
  <c r="I306" i="5"/>
  <c r="H306" i="5"/>
  <c r="I305" i="5"/>
  <c r="H305" i="5"/>
  <c r="I304" i="5"/>
  <c r="H304" i="5"/>
  <c r="I303" i="5"/>
  <c r="H303" i="5"/>
  <c r="I302" i="5"/>
  <c r="H302" i="5"/>
  <c r="I301" i="5"/>
  <c r="H301" i="5"/>
  <c r="I300" i="5"/>
  <c r="H300" i="5"/>
  <c r="I299" i="5"/>
  <c r="H299" i="5"/>
  <c r="I298" i="5"/>
  <c r="H298" i="5"/>
  <c r="I297" i="5"/>
  <c r="H297" i="5"/>
  <c r="I296" i="5"/>
  <c r="H296" i="5"/>
  <c r="I295" i="5"/>
  <c r="H295" i="5"/>
  <c r="I294" i="5"/>
  <c r="H294" i="5"/>
  <c r="I293" i="5"/>
  <c r="H293" i="5"/>
  <c r="I292" i="5"/>
  <c r="H292" i="5"/>
  <c r="I291" i="5"/>
  <c r="H291" i="5"/>
  <c r="I290" i="5"/>
  <c r="H290" i="5"/>
  <c r="I289" i="5"/>
  <c r="H289" i="5"/>
  <c r="I288" i="5"/>
  <c r="H288" i="5"/>
  <c r="I287" i="5"/>
  <c r="H287" i="5"/>
  <c r="I286" i="5"/>
  <c r="H286" i="5"/>
  <c r="I285" i="5"/>
  <c r="H285" i="5"/>
  <c r="I284" i="5"/>
  <c r="H284" i="5"/>
  <c r="I283" i="5"/>
  <c r="H283" i="5"/>
  <c r="I282" i="5"/>
  <c r="H282" i="5"/>
  <c r="I281" i="5"/>
  <c r="H281" i="5"/>
  <c r="I280" i="5"/>
  <c r="H280" i="5"/>
  <c r="I279" i="5"/>
  <c r="H279" i="5"/>
  <c r="I278" i="5"/>
  <c r="H278" i="5"/>
  <c r="I277" i="5"/>
  <c r="H277" i="5"/>
  <c r="I276" i="5"/>
  <c r="H276" i="5"/>
  <c r="I275" i="5"/>
  <c r="H275" i="5"/>
  <c r="I274" i="5"/>
  <c r="H274" i="5"/>
  <c r="I273" i="5"/>
  <c r="H273" i="5"/>
  <c r="I272" i="5"/>
  <c r="H272" i="5"/>
  <c r="I271" i="5"/>
  <c r="H271" i="5"/>
  <c r="I270" i="5"/>
  <c r="H270" i="5"/>
  <c r="I269" i="5"/>
  <c r="H269" i="5"/>
  <c r="I268" i="5"/>
  <c r="H268" i="5"/>
  <c r="I267" i="5"/>
  <c r="H267" i="5"/>
  <c r="I266" i="5"/>
  <c r="H266" i="5"/>
  <c r="I265" i="5"/>
  <c r="H265" i="5"/>
  <c r="I264" i="5"/>
  <c r="H264" i="5"/>
  <c r="I263" i="5"/>
  <c r="H263" i="5"/>
  <c r="I262" i="5"/>
  <c r="H262" i="5"/>
  <c r="I261" i="5"/>
  <c r="H261" i="5"/>
  <c r="I260" i="5"/>
  <c r="H260" i="5"/>
  <c r="I259" i="5"/>
  <c r="H259" i="5"/>
  <c r="I258" i="5"/>
  <c r="H258" i="5"/>
  <c r="I257" i="5"/>
  <c r="H257" i="5"/>
  <c r="I256" i="5"/>
  <c r="H256" i="5"/>
  <c r="I255" i="5"/>
  <c r="H255" i="5"/>
  <c r="I254" i="5"/>
  <c r="H254" i="5"/>
  <c r="I253" i="5"/>
  <c r="H253" i="5"/>
  <c r="I252" i="5"/>
  <c r="H252" i="5"/>
  <c r="I251" i="5"/>
  <c r="H251" i="5"/>
  <c r="I250" i="5"/>
  <c r="H250" i="5"/>
  <c r="I249" i="5"/>
  <c r="H249" i="5"/>
  <c r="I248" i="5"/>
  <c r="H248" i="5"/>
  <c r="I247" i="5"/>
  <c r="H247" i="5"/>
  <c r="I246" i="5"/>
  <c r="H246" i="5"/>
  <c r="I245" i="5"/>
  <c r="H245" i="5"/>
  <c r="I244" i="5"/>
  <c r="H244" i="5"/>
  <c r="I243" i="5"/>
  <c r="H243" i="5"/>
  <c r="I242" i="5"/>
  <c r="H242" i="5"/>
  <c r="I241" i="5"/>
  <c r="H241" i="5"/>
  <c r="I240" i="5"/>
  <c r="H240" i="5"/>
  <c r="I239" i="5"/>
  <c r="H239" i="5"/>
  <c r="I238" i="5"/>
  <c r="H238" i="5"/>
  <c r="I237" i="5"/>
  <c r="H237" i="5"/>
  <c r="I236" i="5"/>
  <c r="H236" i="5"/>
  <c r="I235" i="5"/>
  <c r="H235" i="5"/>
  <c r="I234" i="5"/>
  <c r="H234" i="5"/>
  <c r="I233" i="5"/>
  <c r="H233" i="5"/>
  <c r="I232" i="5"/>
  <c r="H232" i="5"/>
  <c r="I231" i="5"/>
  <c r="H231" i="5"/>
  <c r="I230" i="5"/>
  <c r="H230" i="5"/>
  <c r="I229" i="5"/>
  <c r="H229" i="5"/>
  <c r="I228" i="5"/>
  <c r="H228" i="5"/>
  <c r="I227" i="5"/>
  <c r="H227" i="5"/>
  <c r="I226" i="5"/>
  <c r="H226" i="5"/>
  <c r="I225" i="5"/>
  <c r="H225" i="5"/>
  <c r="I224" i="5"/>
  <c r="H224" i="5"/>
  <c r="I223" i="5"/>
  <c r="H223" i="5"/>
  <c r="I222" i="5"/>
  <c r="H222" i="5"/>
  <c r="I221" i="5"/>
  <c r="H221" i="5"/>
  <c r="I220" i="5"/>
  <c r="H220" i="5"/>
  <c r="I219" i="5"/>
  <c r="H219" i="5"/>
  <c r="I218" i="5"/>
  <c r="H218" i="5"/>
  <c r="I217" i="5"/>
  <c r="H217" i="5"/>
  <c r="I216" i="5"/>
  <c r="H216" i="5"/>
  <c r="I215" i="5"/>
  <c r="H215" i="5"/>
  <c r="I214" i="5"/>
  <c r="H214" i="5"/>
  <c r="I213" i="5"/>
  <c r="H213" i="5"/>
  <c r="I212" i="5"/>
  <c r="H212" i="5"/>
  <c r="I211" i="5"/>
  <c r="H211" i="5"/>
  <c r="I210" i="5"/>
  <c r="H210" i="5"/>
  <c r="I209" i="5"/>
  <c r="H209" i="5"/>
  <c r="I208" i="5"/>
  <c r="H208" i="5"/>
  <c r="I207" i="5"/>
  <c r="H207" i="5"/>
  <c r="I206" i="5"/>
  <c r="H206" i="5"/>
  <c r="I205" i="5"/>
  <c r="H205" i="5"/>
  <c r="I204" i="5"/>
  <c r="H204" i="5"/>
  <c r="I203" i="5"/>
  <c r="H203" i="5"/>
  <c r="I202" i="5"/>
  <c r="H202" i="5"/>
  <c r="I201" i="5"/>
  <c r="H201" i="5"/>
  <c r="I200" i="5"/>
  <c r="H200" i="5"/>
  <c r="I199" i="5"/>
  <c r="H199" i="5"/>
  <c r="I198" i="5"/>
  <c r="H198" i="5"/>
  <c r="I197" i="5"/>
  <c r="H197" i="5"/>
  <c r="I196" i="5"/>
  <c r="H196" i="5"/>
  <c r="I195" i="5"/>
  <c r="H195" i="5"/>
  <c r="I194" i="5"/>
  <c r="H194" i="5"/>
  <c r="I193" i="5"/>
  <c r="H193" i="5"/>
  <c r="I192" i="5"/>
  <c r="H192" i="5"/>
  <c r="I191" i="5"/>
  <c r="H191" i="5"/>
  <c r="I190" i="5"/>
  <c r="H190" i="5"/>
  <c r="I189" i="5"/>
  <c r="H189" i="5"/>
  <c r="I188" i="5"/>
  <c r="H188" i="5"/>
  <c r="I187" i="5"/>
  <c r="H187" i="5"/>
  <c r="I186" i="5"/>
  <c r="H186" i="5"/>
  <c r="I185" i="5"/>
  <c r="H185" i="5"/>
  <c r="I184" i="5"/>
  <c r="H184" i="5"/>
  <c r="I183" i="5"/>
  <c r="H183" i="5"/>
  <c r="I182" i="5"/>
  <c r="H182" i="5"/>
  <c r="I181" i="5"/>
  <c r="H181" i="5"/>
  <c r="I180" i="5"/>
  <c r="H180" i="5"/>
  <c r="I179" i="5"/>
  <c r="H179" i="5"/>
  <c r="I178" i="5"/>
  <c r="H178" i="5"/>
  <c r="I177" i="5"/>
  <c r="H177" i="5"/>
  <c r="I176" i="5"/>
  <c r="H176" i="5"/>
  <c r="I175" i="5"/>
  <c r="H175" i="5"/>
  <c r="I174" i="5"/>
  <c r="H174" i="5"/>
  <c r="I173" i="5"/>
  <c r="H173" i="5"/>
  <c r="I172" i="5"/>
  <c r="H172" i="5"/>
  <c r="I171" i="5"/>
  <c r="H171" i="5"/>
  <c r="I170" i="5"/>
  <c r="H170" i="5"/>
  <c r="I169" i="5"/>
  <c r="H169" i="5"/>
  <c r="I168" i="5"/>
  <c r="H168" i="5"/>
  <c r="I167" i="5"/>
  <c r="H167" i="5"/>
  <c r="I166" i="5"/>
  <c r="H166" i="5"/>
  <c r="I165" i="5"/>
  <c r="H165" i="5"/>
  <c r="I164" i="5"/>
  <c r="H164" i="5"/>
  <c r="I163" i="5"/>
  <c r="H163" i="5"/>
  <c r="I162" i="5"/>
  <c r="H162" i="5"/>
  <c r="I161" i="5"/>
  <c r="H161" i="5"/>
  <c r="I160" i="5"/>
  <c r="H160" i="5"/>
  <c r="I159" i="5"/>
  <c r="H159" i="5"/>
  <c r="I158" i="5"/>
  <c r="H158" i="5"/>
  <c r="I157" i="5"/>
  <c r="H157" i="5"/>
  <c r="I156" i="5"/>
  <c r="H156" i="5"/>
  <c r="I155" i="5"/>
  <c r="H155" i="5"/>
  <c r="I154" i="5"/>
  <c r="H154" i="5"/>
  <c r="I153" i="5"/>
  <c r="H153" i="5"/>
  <c r="I152" i="5"/>
  <c r="H152" i="5"/>
  <c r="I151" i="5"/>
  <c r="H151" i="5"/>
  <c r="I150" i="5"/>
  <c r="H150" i="5"/>
  <c r="I149" i="5"/>
  <c r="H149" i="5"/>
  <c r="I148" i="5"/>
  <c r="H148" i="5"/>
  <c r="I147" i="5"/>
  <c r="H147" i="5"/>
  <c r="I146" i="5"/>
  <c r="H146" i="5"/>
  <c r="I145" i="5"/>
  <c r="H145" i="5"/>
  <c r="I144" i="5"/>
  <c r="H144" i="5"/>
  <c r="I143" i="5"/>
  <c r="H143" i="5"/>
  <c r="I142" i="5"/>
  <c r="H142" i="5"/>
  <c r="I141" i="5"/>
  <c r="H141" i="5"/>
  <c r="I140" i="5"/>
  <c r="H140" i="5"/>
  <c r="I139" i="5"/>
  <c r="H139" i="5"/>
  <c r="I138" i="5"/>
  <c r="H138" i="5"/>
  <c r="I137" i="5"/>
  <c r="H137" i="5"/>
  <c r="I136" i="5"/>
  <c r="H136" i="5"/>
  <c r="I135" i="5"/>
  <c r="H135" i="5"/>
  <c r="I134" i="5"/>
  <c r="H134" i="5"/>
  <c r="I133" i="5"/>
  <c r="H133" i="5"/>
  <c r="I132" i="5"/>
  <c r="H132" i="5"/>
  <c r="I131" i="5"/>
  <c r="H131" i="5"/>
  <c r="I130" i="5"/>
  <c r="H130" i="5"/>
  <c r="I129" i="5"/>
  <c r="H129" i="5"/>
  <c r="I128" i="5"/>
  <c r="H128" i="5"/>
  <c r="I127" i="5"/>
  <c r="H127" i="5"/>
  <c r="I126" i="5"/>
  <c r="H126" i="5"/>
  <c r="I125" i="5"/>
  <c r="H125" i="5"/>
  <c r="I124" i="5"/>
  <c r="H124" i="5"/>
  <c r="I123" i="5"/>
  <c r="H123" i="5"/>
  <c r="I122" i="5"/>
  <c r="H122" i="5"/>
  <c r="I121" i="5"/>
  <c r="H121" i="5"/>
  <c r="I120" i="5"/>
  <c r="H120" i="5"/>
  <c r="I119" i="5"/>
  <c r="H119" i="5"/>
  <c r="I118" i="5"/>
  <c r="H118" i="5"/>
  <c r="I117" i="5"/>
  <c r="H117" i="5"/>
  <c r="I116" i="5"/>
  <c r="H116" i="5"/>
  <c r="I115" i="5"/>
  <c r="H115" i="5"/>
  <c r="I114" i="5"/>
  <c r="H114" i="5"/>
  <c r="I113" i="5"/>
  <c r="H113" i="5"/>
  <c r="I112" i="5"/>
  <c r="H112" i="5"/>
  <c r="I111" i="5"/>
  <c r="H111" i="5"/>
  <c r="I110" i="5"/>
  <c r="H110" i="5"/>
  <c r="I109" i="5"/>
  <c r="H109" i="5"/>
  <c r="I108" i="5"/>
  <c r="H108" i="5"/>
  <c r="I107" i="5"/>
  <c r="H107" i="5"/>
  <c r="I106" i="5"/>
  <c r="H106" i="5"/>
  <c r="I105" i="5"/>
  <c r="H105" i="5"/>
  <c r="I104" i="5"/>
  <c r="H104" i="5"/>
  <c r="I103" i="5"/>
  <c r="H103" i="5"/>
  <c r="I102" i="5"/>
  <c r="H102" i="5"/>
  <c r="I101" i="5"/>
  <c r="H101" i="5"/>
  <c r="I100" i="5"/>
  <c r="H100" i="5"/>
  <c r="I99" i="5"/>
  <c r="H99" i="5"/>
  <c r="I98" i="5"/>
  <c r="H98" i="5"/>
  <c r="I97" i="5"/>
  <c r="H97" i="5"/>
  <c r="I96" i="5"/>
  <c r="H96" i="5"/>
  <c r="I95" i="5"/>
  <c r="H95" i="5"/>
  <c r="I94" i="5"/>
  <c r="H94" i="5"/>
  <c r="I93" i="5"/>
  <c r="H93" i="5"/>
  <c r="I92" i="5"/>
  <c r="H92" i="5"/>
  <c r="I91" i="5"/>
  <c r="H91" i="5"/>
  <c r="I90" i="5"/>
  <c r="H90" i="5"/>
  <c r="I89" i="5"/>
  <c r="H89" i="5"/>
  <c r="I88" i="5"/>
  <c r="H88" i="5"/>
  <c r="I87" i="5"/>
  <c r="H87" i="5"/>
  <c r="I86" i="5"/>
  <c r="H86" i="5"/>
  <c r="I85" i="5"/>
  <c r="H85" i="5"/>
  <c r="I84" i="5"/>
  <c r="H84" i="5"/>
  <c r="I83" i="5"/>
  <c r="H83" i="5"/>
  <c r="I82" i="5"/>
  <c r="H82" i="5"/>
  <c r="I81" i="5"/>
  <c r="H81" i="5"/>
  <c r="I80" i="5"/>
  <c r="H80" i="5"/>
  <c r="I79" i="5"/>
  <c r="H79" i="5"/>
  <c r="I78" i="5"/>
  <c r="H78" i="5"/>
  <c r="I77" i="5"/>
  <c r="H77" i="5"/>
  <c r="I76" i="5"/>
  <c r="H76" i="5"/>
  <c r="I75" i="5"/>
  <c r="H75" i="5"/>
  <c r="I74" i="5"/>
  <c r="H74" i="5"/>
  <c r="I73" i="5"/>
  <c r="H73" i="5"/>
  <c r="I72" i="5"/>
  <c r="H72" i="5"/>
  <c r="I71" i="5"/>
  <c r="H71" i="5"/>
  <c r="I70" i="5"/>
  <c r="H70" i="5"/>
  <c r="I69" i="5"/>
  <c r="H69" i="5"/>
  <c r="I68" i="5"/>
  <c r="H68" i="5"/>
  <c r="I67" i="5"/>
  <c r="H67" i="5"/>
  <c r="I66" i="5"/>
  <c r="H66" i="5"/>
  <c r="I65" i="5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I54" i="5"/>
  <c r="H54" i="5"/>
  <c r="I53" i="5"/>
  <c r="H53" i="5"/>
  <c r="I52" i="5"/>
  <c r="H52" i="5"/>
  <c r="I51" i="5"/>
  <c r="H51" i="5"/>
  <c r="I50" i="5"/>
  <c r="H50" i="5"/>
  <c r="I49" i="5"/>
  <c r="H49" i="5"/>
  <c r="I48" i="5"/>
  <c r="H48" i="5"/>
  <c r="I47" i="5"/>
  <c r="H47" i="5"/>
  <c r="I46" i="5"/>
  <c r="H46" i="5"/>
  <c r="I45" i="5"/>
  <c r="H45" i="5"/>
  <c r="I44" i="5"/>
  <c r="H44" i="5"/>
  <c r="I43" i="5"/>
  <c r="H43" i="5"/>
  <c r="I42" i="5"/>
  <c r="H42" i="5"/>
  <c r="I41" i="5"/>
  <c r="H41" i="5"/>
  <c r="I40" i="5"/>
  <c r="H40" i="5"/>
  <c r="I39" i="5"/>
  <c r="H39" i="5"/>
  <c r="I38" i="5"/>
  <c r="H38" i="5"/>
  <c r="I37" i="5"/>
  <c r="H3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G6" i="5"/>
  <c r="I5" i="5"/>
  <c r="H5" i="5"/>
  <c r="I4" i="5"/>
  <c r="H4" i="5"/>
  <c r="I3" i="5"/>
  <c r="H3" i="5"/>
  <c r="I2" i="5"/>
  <c r="H2" i="5"/>
</calcChain>
</file>

<file path=xl/sharedStrings.xml><?xml version="1.0" encoding="utf-8"?>
<sst xmlns="http://schemas.openxmlformats.org/spreadsheetml/2006/main" count="7837" uniqueCount="449">
  <si>
    <t>Date</t>
  </si>
  <si>
    <t>Particulars</t>
  </si>
  <si>
    <t>Quantity</t>
  </si>
  <si>
    <t>Cash</t>
  </si>
  <si>
    <t>BG395 TOP RS20</t>
  </si>
  <si>
    <t>1 pc</t>
  </si>
  <si>
    <t>525.00/pc</t>
  </si>
  <si>
    <t>510.00/pc</t>
  </si>
  <si>
    <t>RAMESH BAJAJ</t>
  </si>
  <si>
    <t>20 pc</t>
  </si>
  <si>
    <t>Ganesh Naik</t>
  </si>
  <si>
    <t>B FIZZE RS10</t>
  </si>
  <si>
    <t>2 pc</t>
  </si>
  <si>
    <t>345.00/pc</t>
  </si>
  <si>
    <t>535.00/pc</t>
  </si>
  <si>
    <t>36 pc</t>
  </si>
  <si>
    <t>12 pc</t>
  </si>
  <si>
    <t>24 pc</t>
  </si>
  <si>
    <t>6 pc</t>
  </si>
  <si>
    <t>C194 POPPINS RS5</t>
  </si>
  <si>
    <t>170.00/pc</t>
  </si>
  <si>
    <t>C174 KACCHA MANGO PU 20P</t>
  </si>
  <si>
    <t>Gobardhan Ghee 500mlx36</t>
  </si>
  <si>
    <t>3 pc</t>
  </si>
  <si>
    <t>Discount</t>
  </si>
  <si>
    <t>5 pc</t>
  </si>
  <si>
    <t>530.00/pc</t>
  </si>
  <si>
    <t>Jai Bajrang  Store</t>
  </si>
  <si>
    <t>Chinu</t>
  </si>
  <si>
    <t>7UP 250ML CAN</t>
  </si>
  <si>
    <t>7 pc</t>
  </si>
  <si>
    <t>520.00/pc</t>
  </si>
  <si>
    <t>Maa Tarani Puja Bhandar</t>
  </si>
  <si>
    <t>Gobardhan Ghee 1ltrx18</t>
  </si>
  <si>
    <t>546.67/pc</t>
  </si>
  <si>
    <t>620.00/pc</t>
  </si>
  <si>
    <t>Ajit Store</t>
  </si>
  <si>
    <t>10 pc</t>
  </si>
  <si>
    <t>Appy Fee Rs 10x40</t>
  </si>
  <si>
    <t>30 pc</t>
  </si>
  <si>
    <t>Froti Rs 10</t>
  </si>
  <si>
    <t>328.00/pc</t>
  </si>
  <si>
    <t>B Fize 250ml Rs15</t>
  </si>
  <si>
    <t>390.00/pc</t>
  </si>
  <si>
    <t>AP FE 250MLRS 15</t>
  </si>
  <si>
    <t>SAJAN AGARWAL MAIN ROAD</t>
  </si>
  <si>
    <t>Uttakal Store</t>
  </si>
  <si>
    <t>Jagadamba Store</t>
  </si>
  <si>
    <t>Anand Matu</t>
  </si>
  <si>
    <t>565.00/pc</t>
  </si>
  <si>
    <t>UMESH TIBREWAL</t>
  </si>
  <si>
    <t>Arbind Sahu</t>
  </si>
  <si>
    <t>50 pc</t>
  </si>
  <si>
    <t>380.00/pc</t>
  </si>
  <si>
    <t>40 pc</t>
  </si>
  <si>
    <t>Babu</t>
  </si>
  <si>
    <t>C326 K A J Rs150</t>
  </si>
  <si>
    <t>C332 LON DERRY J RS150</t>
  </si>
  <si>
    <t>127.50/pc</t>
  </si>
  <si>
    <t>8 pc</t>
  </si>
  <si>
    <t>325.00/pc</t>
  </si>
  <si>
    <t>15 pc</t>
  </si>
  <si>
    <t>342.00/pc</t>
  </si>
  <si>
    <t>60 pc</t>
  </si>
  <si>
    <t>Milk Moon</t>
  </si>
  <si>
    <t>100 pc</t>
  </si>
  <si>
    <t>11 pc</t>
  </si>
  <si>
    <t>630.00/pc</t>
  </si>
  <si>
    <t>Bg417 Magix Or Rs10</t>
  </si>
  <si>
    <t>550.00/pc</t>
  </si>
  <si>
    <t>710.00/pc</t>
  </si>
  <si>
    <t>Swai Stor</t>
  </si>
  <si>
    <t>42.00/pc</t>
  </si>
  <si>
    <t>13 pc</t>
  </si>
  <si>
    <t>16 pc</t>
  </si>
  <si>
    <t>Gagan Store</t>
  </si>
  <si>
    <t>570.00/pc</t>
  </si>
  <si>
    <t>590.00/pc</t>
  </si>
  <si>
    <t>9 pc</t>
  </si>
  <si>
    <t>420.00/pc</t>
  </si>
  <si>
    <t>25 pc</t>
  </si>
  <si>
    <t>515.00/pc</t>
  </si>
  <si>
    <t>Raj Kumar Bajaj</t>
  </si>
  <si>
    <t>Tripathi Pam Bhandar</t>
  </si>
  <si>
    <t>41.67/pc</t>
  </si>
  <si>
    <t>Joshi Puja Bhandar</t>
  </si>
  <si>
    <t>15 Days</t>
  </si>
  <si>
    <t>Froti Pet Rs10</t>
  </si>
  <si>
    <t>SUBASH MITTLE</t>
  </si>
  <si>
    <t>M Bize Jar</t>
  </si>
  <si>
    <t>320.00/pc</t>
  </si>
  <si>
    <t>M Brize Rs10x20</t>
  </si>
  <si>
    <t>160.00/pc</t>
  </si>
  <si>
    <t>4 pc</t>
  </si>
  <si>
    <t>Tata Gulco Lemon</t>
  </si>
  <si>
    <t>80 box</t>
  </si>
  <si>
    <t>Anand Sonu</t>
  </si>
  <si>
    <t>Prasad Store</t>
  </si>
  <si>
    <t>STING 250ML PET24RS20</t>
  </si>
  <si>
    <t>540.00/pc</t>
  </si>
  <si>
    <t>350.00/pc</t>
  </si>
  <si>
    <t>FROTI RS98X2000ML</t>
  </si>
  <si>
    <t>480.00/pc</t>
  </si>
  <si>
    <t>400.00/pc</t>
  </si>
  <si>
    <t>330.00/pc</t>
  </si>
  <si>
    <t>250.00/pc</t>
  </si>
  <si>
    <t>TROP PR MIX FRUIT 200ml</t>
  </si>
  <si>
    <t>425.00/pc</t>
  </si>
  <si>
    <t>7UP 300MLPET30RS20</t>
  </si>
  <si>
    <t>700.00/pc</t>
  </si>
  <si>
    <t>Ashok Sahu</t>
  </si>
  <si>
    <t>AP FEE 160ML RS10</t>
  </si>
  <si>
    <t>PEPSI BLACK CAN</t>
  </si>
  <si>
    <t>42.50/pc</t>
  </si>
  <si>
    <t>Mirinda 600ml Rs30</t>
  </si>
  <si>
    <t>650.00/pc</t>
  </si>
  <si>
    <t>Pepsi 600ml Rs30</t>
  </si>
  <si>
    <t>335.00/pc</t>
  </si>
  <si>
    <t>340.00/pc</t>
  </si>
  <si>
    <t>300.00/pc</t>
  </si>
  <si>
    <t>680.00/pc</t>
  </si>
  <si>
    <t>C337 ORANGE BITEJ RS150</t>
  </si>
  <si>
    <t>560.00/pc</t>
  </si>
  <si>
    <t>FROTI RS35X600ML</t>
  </si>
  <si>
    <t>740.00/pc</t>
  </si>
  <si>
    <t>FROTIRS 64X12ML</t>
  </si>
  <si>
    <t>690.00/pc</t>
  </si>
  <si>
    <t>80 pc</t>
  </si>
  <si>
    <t>C331 Mango Bite 800 2jar</t>
  </si>
  <si>
    <t>685.00/pc</t>
  </si>
  <si>
    <t>Marketing</t>
  </si>
  <si>
    <t>1 box</t>
  </si>
  <si>
    <t>200.00/box</t>
  </si>
  <si>
    <t>PEPSI 300ML PET30RS20PROMO</t>
  </si>
  <si>
    <t>MOUNTAIN DEW300MLPET 30RS20</t>
  </si>
  <si>
    <t>7up 600ml Rs30</t>
  </si>
  <si>
    <t>MOUNTEN DEW CAN</t>
  </si>
  <si>
    <t>2 box</t>
  </si>
  <si>
    <t>4 box</t>
  </si>
  <si>
    <t>14 pc</t>
  </si>
  <si>
    <t>Mountain Dew 600ml Rs 30</t>
  </si>
  <si>
    <t>Pabatra Store</t>
  </si>
  <si>
    <t>FROTI RS 20X300ML</t>
  </si>
  <si>
    <t>Sahu Hospital Front</t>
  </si>
  <si>
    <t>640.00/pc</t>
  </si>
  <si>
    <t>470.00/pc</t>
  </si>
  <si>
    <t>MIRINDA OR 300ML PET30RS20</t>
  </si>
  <si>
    <t>PEPSI CANE</t>
  </si>
  <si>
    <t>AQUAFINA 1L PET 15 RS20</t>
  </si>
  <si>
    <t>185.00/pc</t>
  </si>
  <si>
    <t>195.00/pc</t>
  </si>
  <si>
    <t>548.00/pc</t>
  </si>
  <si>
    <t>SLICE 250MLPET30 RS20</t>
  </si>
  <si>
    <t>648.00/pc</t>
  </si>
  <si>
    <t>Trop Pr Pomegranate 500ml Rs40</t>
  </si>
  <si>
    <t>880.00/pc</t>
  </si>
  <si>
    <t>500.00/pc</t>
  </si>
  <si>
    <t>255.00/pc</t>
  </si>
  <si>
    <t>Dash Coll</t>
  </si>
  <si>
    <t>SWAGAT 200ML</t>
  </si>
  <si>
    <t>600.00/pc</t>
  </si>
  <si>
    <t>660.00/pc</t>
  </si>
  <si>
    <t>Round Off</t>
  </si>
  <si>
    <t>18 pc</t>
  </si>
  <si>
    <t>545.00/pc</t>
  </si>
  <si>
    <t>PEPSI CO 200ML RGP24RS12</t>
  </si>
  <si>
    <t>216.00/pc</t>
  </si>
  <si>
    <t>Trop Guava 500ml Rs40</t>
  </si>
  <si>
    <t>6 box</t>
  </si>
  <si>
    <t>Trop Litchi 500ml Rs 40</t>
  </si>
  <si>
    <t>860.00/pc</t>
  </si>
  <si>
    <t>APP FIZE 600MLRS</t>
  </si>
  <si>
    <t>595.00/pc</t>
  </si>
  <si>
    <t>Gobardhan Ghee 200mlx</t>
  </si>
  <si>
    <t>5 box</t>
  </si>
  <si>
    <t>PEPSI 1.25PET12RS60PROMO</t>
  </si>
  <si>
    <t>7up200mlRGP24 RX12</t>
  </si>
  <si>
    <t>180.00/pc</t>
  </si>
  <si>
    <t>800.00/pc</t>
  </si>
  <si>
    <t>9 box</t>
  </si>
  <si>
    <t>10 box</t>
  </si>
  <si>
    <t>160.00/box</t>
  </si>
  <si>
    <t>190.00/pc</t>
  </si>
  <si>
    <t>830.00/pc</t>
  </si>
  <si>
    <t>15 box</t>
  </si>
  <si>
    <t>333.33/pc</t>
  </si>
  <si>
    <t>190.00/box</t>
  </si>
  <si>
    <t>MOUNTAIN DEW1.25L PET12RS60</t>
  </si>
  <si>
    <t>Sprite 2.25</t>
  </si>
  <si>
    <t>765.00/pc</t>
  </si>
  <si>
    <t>395.00/pc</t>
  </si>
  <si>
    <t>FROTI RS 5X65ML</t>
  </si>
  <si>
    <t>265.00/pc</t>
  </si>
  <si>
    <t>Kara Puja Bhandar</t>
  </si>
  <si>
    <t>Agst Ref</t>
  </si>
  <si>
    <t>Ella General Store</t>
  </si>
  <si>
    <t>11cafe</t>
  </si>
  <si>
    <t>On Account</t>
  </si>
  <si>
    <t>MOUNTAIN DEW 200ML RGP24RS12</t>
  </si>
  <si>
    <t>780.00/pc</t>
  </si>
  <si>
    <t>Trinath Pan Bhandar</t>
  </si>
  <si>
    <t>Mangal Store</t>
  </si>
  <si>
    <t>490.00/pc</t>
  </si>
  <si>
    <t>580.00/pc</t>
  </si>
  <si>
    <t>7UP2.25L PET 9RS 90</t>
  </si>
  <si>
    <t>750.00/pc</t>
  </si>
  <si>
    <t>MIRINDA OR CAN</t>
  </si>
  <si>
    <t>100.00/pc</t>
  </si>
  <si>
    <t>348.00/pc</t>
  </si>
  <si>
    <t>Bad Gaw</t>
  </si>
  <si>
    <t>278.00/pc</t>
  </si>
  <si>
    <t>SWAGAT 1LT</t>
  </si>
  <si>
    <t>415.00/pc</t>
  </si>
  <si>
    <t>SWAGAT 500ML</t>
  </si>
  <si>
    <t>215.00/pc</t>
  </si>
  <si>
    <t>720.00/pc</t>
  </si>
  <si>
    <t>PEPSI 2.25L PET9 RS90 PROMO</t>
  </si>
  <si>
    <t>B Fize 600ml Rs33</t>
  </si>
  <si>
    <t>3 box</t>
  </si>
  <si>
    <t>7UP750ML PET24RS38</t>
  </si>
  <si>
    <t>Laxmi Store</t>
  </si>
  <si>
    <t>AP FEE1000MLRS55</t>
  </si>
  <si>
    <t>Lachu Hotel</t>
  </si>
  <si>
    <t>210.00/pc</t>
  </si>
  <si>
    <t>315.00/pc</t>
  </si>
  <si>
    <t>Ac Pt Rs10</t>
  </si>
  <si>
    <t>430.00/pc</t>
  </si>
  <si>
    <t>310.00/pc</t>
  </si>
  <si>
    <t>MILK CHOCOLATE 200ML24RS30</t>
  </si>
  <si>
    <t>645.00/pc</t>
  </si>
  <si>
    <t>260.00/pc</t>
  </si>
  <si>
    <t>7UP1.25L PET12RS60</t>
  </si>
  <si>
    <t>Ashok Frot Shop</t>
  </si>
  <si>
    <t>MIRINDA OR 200ML RGP24RS12</t>
  </si>
  <si>
    <t>Sonu Bala</t>
  </si>
  <si>
    <t>SLICE 200ML RGP24RS12</t>
  </si>
  <si>
    <t>240.00/pc</t>
  </si>
  <si>
    <t>790.00/pc</t>
  </si>
  <si>
    <t>FROTI 200ML RS15</t>
  </si>
  <si>
    <t>MOUNTAIN DEW 750ML PET 24RS38NEON</t>
  </si>
  <si>
    <t>410.00/pc</t>
  </si>
  <si>
    <t>MILK COFFEE 200ML 24RS30</t>
  </si>
  <si>
    <t>675.00/pc</t>
  </si>
  <si>
    <t>MILK MANGO 200ML PET24 RS30</t>
  </si>
  <si>
    <t>30 box</t>
  </si>
  <si>
    <t>50 box</t>
  </si>
  <si>
    <t>MOUNTAIN DEW 2.25L PT 9RS90</t>
  </si>
  <si>
    <t>MIRINDA OR 1.25PET 12RS60</t>
  </si>
  <si>
    <t>Bus Stand</t>
  </si>
  <si>
    <t>522.00/pc</t>
  </si>
  <si>
    <t>45 pc</t>
  </si>
  <si>
    <t>20 box</t>
  </si>
  <si>
    <t>SLICE 1.2L PET 12RS65</t>
  </si>
  <si>
    <t>192.00/box</t>
  </si>
  <si>
    <t>200.00/pc</t>
  </si>
  <si>
    <t>Manoj Frot Shop</t>
  </si>
  <si>
    <t>MIRINDA OR 2.25L RS90</t>
  </si>
  <si>
    <t>865.00/pc</t>
  </si>
  <si>
    <t>220.00/pc</t>
  </si>
  <si>
    <t>Gobardhan Ghee 100mlx100</t>
  </si>
  <si>
    <t>77.50/pc</t>
  </si>
  <si>
    <t>277.78/pc</t>
  </si>
  <si>
    <t>90.00/pc</t>
  </si>
  <si>
    <t>195.00/box</t>
  </si>
  <si>
    <t>170.00/box</t>
  </si>
  <si>
    <t>485.00/pc</t>
  </si>
  <si>
    <t>Hand Santizer 500ml</t>
  </si>
  <si>
    <t>25 box</t>
  </si>
  <si>
    <t>Metha Dukan</t>
  </si>
  <si>
    <t>175.00/pc</t>
  </si>
  <si>
    <t>Empt Carate</t>
  </si>
  <si>
    <t>Gobardhan Ghee 5kgx4</t>
  </si>
  <si>
    <t>2610.00/pc</t>
  </si>
  <si>
    <t>-2 pc</t>
  </si>
  <si>
    <t>sting 11 7up 2 return</t>
  </si>
  <si>
    <t>Gopal Sahu</t>
  </si>
  <si>
    <t>55 pc</t>
  </si>
  <si>
    <t>27 pc</t>
  </si>
  <si>
    <t>Aquafina 500ml Rs 10</t>
  </si>
  <si>
    <t>334.00/pc</t>
  </si>
  <si>
    <t>T192 Kismi Toffee Rs.50x40pu</t>
  </si>
  <si>
    <t>C308 Assort Mazelo 24p Rs50</t>
  </si>
  <si>
    <t>42 pc</t>
  </si>
  <si>
    <t>New Bustand</t>
  </si>
  <si>
    <t>332.00/pc</t>
  </si>
  <si>
    <t>Froti Df Can</t>
  </si>
  <si>
    <t>Millan</t>
  </si>
  <si>
    <t>35 pc</t>
  </si>
  <si>
    <t>40 box</t>
  </si>
  <si>
    <t>150 box</t>
  </si>
  <si>
    <t>188.00/box</t>
  </si>
  <si>
    <t>K Hot Lime Pickel 300g</t>
  </si>
  <si>
    <t>50.00/pc</t>
  </si>
  <si>
    <t>Jaljeera</t>
  </si>
  <si>
    <t>Lichi Pran</t>
  </si>
  <si>
    <t>126.25/pc</t>
  </si>
  <si>
    <t>166.67/pc</t>
  </si>
  <si>
    <t>615.00/pc</t>
  </si>
  <si>
    <t>SHORT &amp;EXCESS</t>
  </si>
  <si>
    <t>Darli Store</t>
  </si>
  <si>
    <t>2500.00/pc</t>
  </si>
  <si>
    <t>Swagat Ghee Tin</t>
  </si>
  <si>
    <t>277.50/pc</t>
  </si>
  <si>
    <t>274.50/pc</t>
  </si>
  <si>
    <t>280.00/pc</t>
  </si>
  <si>
    <t>78.00/pc</t>
  </si>
  <si>
    <t>rajan karamdehi</t>
  </si>
  <si>
    <t>Mountain Dew Ice 250 Ml</t>
  </si>
  <si>
    <t>Osr Hotel</t>
  </si>
  <si>
    <t>278.33/pc</t>
  </si>
  <si>
    <t>Mountain Dew Ice 600 Ml</t>
  </si>
  <si>
    <t>235.00/pc</t>
  </si>
  <si>
    <t>545.06/pc</t>
  </si>
  <si>
    <t>60 box</t>
  </si>
  <si>
    <t>323.00/pc</t>
  </si>
  <si>
    <t>245.00/pc</t>
  </si>
  <si>
    <t>70 box</t>
  </si>
  <si>
    <t>215.38/pc</t>
  </si>
  <si>
    <t>Sagar</t>
  </si>
  <si>
    <t>117.38/pc</t>
  </si>
  <si>
    <t>347.50/pc</t>
  </si>
  <si>
    <t>238.00/pc</t>
  </si>
  <si>
    <t>738.00/pc</t>
  </si>
  <si>
    <t>12 box</t>
  </si>
  <si>
    <t>Smoodh</t>
  </si>
  <si>
    <t>Smood Tofi</t>
  </si>
  <si>
    <t>117.70/pc</t>
  </si>
  <si>
    <t>546.40/pc</t>
  </si>
  <si>
    <t>278.30/pc</t>
  </si>
  <si>
    <t>120.00/pc</t>
  </si>
  <si>
    <t>117.50/pc</t>
  </si>
  <si>
    <t>546.50/pc</t>
  </si>
  <si>
    <t>117.75/pc</t>
  </si>
  <si>
    <t>Sai Puja Dukan</t>
  </si>
  <si>
    <t>278.25/pc</t>
  </si>
  <si>
    <t>117.60/pc</t>
  </si>
  <si>
    <t>116.30/pc</t>
  </si>
  <si>
    <t>Sudash Kumar Sahu</t>
  </si>
  <si>
    <t>G GHEE 1000ML RT X10P MRP499</t>
  </si>
  <si>
    <t>G GHEE 500ML RT X20 MRP255</t>
  </si>
  <si>
    <t>747.00/pc</t>
  </si>
  <si>
    <t>M&amp;N Rother Darli Pali</t>
  </si>
  <si>
    <t>931.00/pc</t>
  </si>
  <si>
    <t>150.00/pc</t>
  </si>
  <si>
    <t>230.00/pc</t>
  </si>
  <si>
    <t>117.00/pc</t>
  </si>
  <si>
    <t>116.67/pc</t>
  </si>
  <si>
    <t>2640.00/pc</t>
  </si>
  <si>
    <t>546.00/pc</t>
  </si>
  <si>
    <t>550.83/pc</t>
  </si>
  <si>
    <t>278.06/pc</t>
  </si>
  <si>
    <t>118.67/pc</t>
  </si>
  <si>
    <t>Jatin Satpathi</t>
  </si>
  <si>
    <t>290 pc</t>
  </si>
  <si>
    <t>524.00/pc</t>
  </si>
  <si>
    <t>39 pc</t>
  </si>
  <si>
    <t>Sri Mangal Store</t>
  </si>
  <si>
    <t>118.00/pc</t>
  </si>
  <si>
    <t>carate balance</t>
  </si>
  <si>
    <t>Bonzo</t>
  </si>
  <si>
    <t>Jai Samana Milk</t>
  </si>
  <si>
    <t>685.71/pc</t>
  </si>
  <si>
    <t>102.00/pc</t>
  </si>
  <si>
    <t>653.33/pc</t>
  </si>
  <si>
    <t>Smodh Cofi</t>
  </si>
  <si>
    <t>C339 Orange Bite 800 2j</t>
  </si>
  <si>
    <t>212.50/pc</t>
  </si>
  <si>
    <t>STOCK SHORT &amp;EXCESS</t>
  </si>
  <si>
    <t>FROTI GP</t>
  </si>
  <si>
    <t>-6 pc</t>
  </si>
  <si>
    <t>ACTP 200ML MRP15</t>
  </si>
  <si>
    <t>-7 pc</t>
  </si>
  <si>
    <t>432.00/pc</t>
  </si>
  <si>
    <t>185.00/box</t>
  </si>
  <si>
    <t>26 pc</t>
  </si>
  <si>
    <t>23 pc</t>
  </si>
  <si>
    <t>117.40/pc</t>
  </si>
  <si>
    <t>277.00/pc</t>
  </si>
  <si>
    <t>Azad Store Hospital Road</t>
  </si>
  <si>
    <t>117.30/pc</t>
  </si>
  <si>
    <t>Bijay Sahu</t>
  </si>
  <si>
    <t>TROP MIX FRUT 1LT..</t>
  </si>
  <si>
    <t>95.00/pc</t>
  </si>
  <si>
    <t>TROP ORANGE 1L</t>
  </si>
  <si>
    <t>pattnaik store laphari pada</t>
  </si>
  <si>
    <t>pattnaik laphari pada</t>
  </si>
  <si>
    <t>Rajan Khanda Kramdehi</t>
  </si>
  <si>
    <t>405.00/pc</t>
  </si>
  <si>
    <t>Tina</t>
  </si>
  <si>
    <t>TADKA CHAACH</t>
  </si>
  <si>
    <t>533.33/pc</t>
  </si>
  <si>
    <t>21 pc</t>
  </si>
  <si>
    <t>140.00/pc</t>
  </si>
  <si>
    <t>200 pc</t>
  </si>
  <si>
    <t>Pepsi750ml</t>
  </si>
  <si>
    <t>785.00/pc</t>
  </si>
  <si>
    <t>760.00/pc</t>
  </si>
  <si>
    <t>Deepak Jarangoli</t>
  </si>
  <si>
    <t>PATTNAIK STORE LEPHARI PADA</t>
  </si>
  <si>
    <t>845.00/pc</t>
  </si>
  <si>
    <t>596.00/pc</t>
  </si>
  <si>
    <t>607.50/pc</t>
  </si>
  <si>
    <t>543.33/pc</t>
  </si>
  <si>
    <t>547.00/pc</t>
  </si>
  <si>
    <t>870.00/pc</t>
  </si>
  <si>
    <t>45 box</t>
  </si>
  <si>
    <t>19 box</t>
  </si>
  <si>
    <t>98 pc</t>
  </si>
  <si>
    <t>7 box</t>
  </si>
  <si>
    <t>855.00/pc</t>
  </si>
  <si>
    <t>35 box</t>
  </si>
  <si>
    <t>183.00/box</t>
  </si>
  <si>
    <t>492.86/pc</t>
  </si>
  <si>
    <t>200 box</t>
  </si>
  <si>
    <t>140 box</t>
  </si>
  <si>
    <t>324.29/pc</t>
  </si>
  <si>
    <t>17 pc</t>
  </si>
  <si>
    <t>185.29/pc</t>
  </si>
  <si>
    <t>Sunil Store Ujal Pur</t>
  </si>
  <si>
    <t>Month</t>
  </si>
  <si>
    <t>Year</t>
  </si>
  <si>
    <t>Row Labels</t>
  </si>
  <si>
    <t>Grand Total</t>
  </si>
  <si>
    <t>Customer</t>
  </si>
  <si>
    <t>Price Per Case</t>
  </si>
  <si>
    <t>Total As Per Case</t>
  </si>
  <si>
    <t>Total Amount</t>
  </si>
  <si>
    <t>(blank)</t>
  </si>
  <si>
    <t>Sum of Total Amount</t>
  </si>
  <si>
    <t>Sum of Total As Per Case</t>
  </si>
  <si>
    <t>2021</t>
  </si>
  <si>
    <t>2022</t>
  </si>
  <si>
    <t>Qtr2</t>
  </si>
  <si>
    <t>Apr</t>
  </si>
  <si>
    <t>May</t>
  </si>
  <si>
    <t>Jun</t>
  </si>
  <si>
    <t>Qtr3</t>
  </si>
  <si>
    <t>Jul</t>
  </si>
  <si>
    <t>Aug</t>
  </si>
  <si>
    <t>Sep</t>
  </si>
  <si>
    <t>Qtr4</t>
  </si>
  <si>
    <t>Oct</t>
  </si>
  <si>
    <t>Nov</t>
  </si>
  <si>
    <t>Dec</t>
  </si>
  <si>
    <t>Qtr1</t>
  </si>
  <si>
    <t>Jan</t>
  </si>
  <si>
    <t>Feb</t>
  </si>
  <si>
    <t>Mar</t>
  </si>
  <si>
    <t>Count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</si>
</sst>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[updated_data (1) - Copy.xlsx]Sale Trends!PivotTable3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840580436999515"/>
          <c:y val="0.14084333208348954"/>
          <c:w val="0.75840914790109837"/>
          <c:h val="0.46827834020747405"/>
        </c:manualLayout>
      </c:layout>
      <c:lineChart>
        <c:grouping val="standard"/>
        <c:varyColors val="0"/>
        <c:ser>
          <c:idx val="0"/>
          <c:order val="0"/>
          <c:tx>
            <c:strRef>
              <c:f>'Sale Trends'!$B$3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'Sale Trends'!$A$4:$A$22</c:f>
              <c:multiLvlStrCache>
                <c:ptCount val="12"/>
                <c:lvl>
                  <c:pt idx="0">
                    <c:v>Apr</c:v>
                  </c:pt>
                  <c:pt idx="1">
                    <c:v>Jun</c:v>
                  </c:pt>
                  <c:pt idx="2">
                    <c:v>May</c:v>
                  </c:pt>
                  <c:pt idx="3">
                    <c:v>Sep</c:v>
                  </c:pt>
                  <c:pt idx="4">
                    <c:v>Aug</c:v>
                  </c:pt>
                  <c:pt idx="5">
                    <c:v>Jul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Mar</c:v>
                  </c:pt>
                  <c:pt idx="10">
                    <c:v>Feb</c:v>
                  </c:pt>
                  <c:pt idx="11">
                    <c:v>Jan</c:v>
                  </c:pt>
                </c:lvl>
                <c:lvl>
                  <c:pt idx="0">
                    <c:v>Qtr2</c:v>
                  </c:pt>
                  <c:pt idx="3">
                    <c:v>Qtr3</c:v>
                  </c:pt>
                  <c:pt idx="6">
                    <c:v>Qtr4</c:v>
                  </c:pt>
                  <c:pt idx="9">
                    <c:v>Qtr1</c:v>
                  </c:pt>
                </c:lvl>
                <c:lvl>
                  <c:pt idx="0">
                    <c:v>2021</c:v>
                  </c:pt>
                  <c:pt idx="9">
                    <c:v>2022</c:v>
                  </c:pt>
                </c:lvl>
              </c:multiLvlStrCache>
            </c:multiLvlStrRef>
          </c:cat>
          <c:val>
            <c:numRef>
              <c:f>'Sale Trends'!$B$4:$B$22</c:f>
              <c:numCache>
                <c:formatCode>General</c:formatCode>
                <c:ptCount val="12"/>
                <c:pt idx="0">
                  <c:v>645447</c:v>
                </c:pt>
                <c:pt idx="1">
                  <c:v>457785</c:v>
                </c:pt>
                <c:pt idx="2">
                  <c:v>218802</c:v>
                </c:pt>
                <c:pt idx="3">
                  <c:v>537582</c:v>
                </c:pt>
                <c:pt idx="4">
                  <c:v>365740</c:v>
                </c:pt>
                <c:pt idx="5">
                  <c:v>289395</c:v>
                </c:pt>
                <c:pt idx="6">
                  <c:v>396862</c:v>
                </c:pt>
                <c:pt idx="7">
                  <c:v>332168</c:v>
                </c:pt>
                <c:pt idx="8">
                  <c:v>196163</c:v>
                </c:pt>
                <c:pt idx="9">
                  <c:v>1510600</c:v>
                </c:pt>
                <c:pt idx="10">
                  <c:v>566796</c:v>
                </c:pt>
                <c:pt idx="11">
                  <c:v>227815.97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DD-4F09-AEED-4FEAF0CC0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748160"/>
        <c:axId val="1603760640"/>
      </c:lineChart>
      <c:catAx>
        <c:axId val="160374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760640"/>
        <c:crosses val="autoZero"/>
        <c:auto val="1"/>
        <c:lblAlgn val="ctr"/>
        <c:lblOffset val="100"/>
        <c:noMultiLvlLbl val="0"/>
      </c:catAx>
      <c:valAx>
        <c:axId val="160376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74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[updated_data (1) - Copy.xlsx]Customer Purchase Behavior Anal!PivotTable4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Customers</a:t>
            </a:r>
          </a:p>
        </c:rich>
      </c:tx>
      <c:layout>
        <c:manualLayout>
          <c:xMode val="edge"/>
          <c:yMode val="edge"/>
          <c:x val="0.34527777777777779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'Customer Purchase Behavior Anal'!$B$3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8E9-48CD-90DE-E03E4D8DA0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8E9-48CD-90DE-E03E4D8DA08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8E9-48CD-90DE-E03E4D8DA08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8E9-48CD-90DE-E03E4D8DA08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8E9-48CD-90DE-E03E4D8DA082}"/>
              </c:ext>
            </c:extLst>
          </c:dPt>
          <c:cat>
            <c:strRef>
              <c:f>'Customer Purchase Behavior Anal'!$A$4:$A$9</c:f>
              <c:strCache>
                <c:ptCount val="5"/>
                <c:pt idx="0">
                  <c:v>Gagan Store</c:v>
                </c:pt>
                <c:pt idx="1">
                  <c:v>SUBASH MITTLE</c:v>
                </c:pt>
                <c:pt idx="2">
                  <c:v>Anand Matu</c:v>
                </c:pt>
                <c:pt idx="3">
                  <c:v>SAJAN AGARWAL MAIN ROAD</c:v>
                </c:pt>
                <c:pt idx="4">
                  <c:v>Ganesh Naik</c:v>
                </c:pt>
              </c:strCache>
            </c:strRef>
          </c:cat>
          <c:val>
            <c:numRef>
              <c:f>'Customer Purchase Behavior Anal'!$B$4:$B$9</c:f>
              <c:numCache>
                <c:formatCode>General</c:formatCode>
                <c:ptCount val="5"/>
                <c:pt idx="0">
                  <c:v>301035</c:v>
                </c:pt>
                <c:pt idx="1">
                  <c:v>268541</c:v>
                </c:pt>
                <c:pt idx="2">
                  <c:v>262680</c:v>
                </c:pt>
                <c:pt idx="3">
                  <c:v>223082</c:v>
                </c:pt>
                <c:pt idx="4">
                  <c:v>219535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75-4981-9262-5FE14FD8A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[updated_data (1) - Copy.xlsx] Top-Selling Products!PivotTable5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Performance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0678892112170184"/>
          <c:y val="9.3780121692511473E-2"/>
          <c:w val="0.53576074043376154"/>
          <c:h val="0.8147900786702594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 Top-Selling Products'!$B$3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 Top-Selling Products'!$A$4:$A$113</c:f>
              <c:strCache>
                <c:ptCount val="109"/>
                <c:pt idx="0">
                  <c:v>Froti Rs 10</c:v>
                </c:pt>
                <c:pt idx="1">
                  <c:v>Tata Gulco Lemon</c:v>
                </c:pt>
                <c:pt idx="2">
                  <c:v>STING 250ML PET24RS20</c:v>
                </c:pt>
                <c:pt idx="3">
                  <c:v>Appy Fee Rs 10x40</c:v>
                </c:pt>
                <c:pt idx="4">
                  <c:v>Bonzo</c:v>
                </c:pt>
                <c:pt idx="5">
                  <c:v>B FIZZE RS10</c:v>
                </c:pt>
                <c:pt idx="6">
                  <c:v>AQUAFINA 1L PET 15 RS20</c:v>
                </c:pt>
                <c:pt idx="7">
                  <c:v>7UP 300MLPET30RS20</c:v>
                </c:pt>
                <c:pt idx="8">
                  <c:v>Gobardhan Ghee 500mlx36</c:v>
                </c:pt>
                <c:pt idx="9">
                  <c:v>Smood Tofi</c:v>
                </c:pt>
                <c:pt idx="10">
                  <c:v>Gobardhan Ghee 1ltrx18</c:v>
                </c:pt>
                <c:pt idx="11">
                  <c:v>FROTI RS98X2000ML</c:v>
                </c:pt>
                <c:pt idx="12">
                  <c:v>Smoodh</c:v>
                </c:pt>
                <c:pt idx="13">
                  <c:v>Jaljeera</c:v>
                </c:pt>
                <c:pt idx="14">
                  <c:v>7UP2.25L PET 9RS 90</c:v>
                </c:pt>
                <c:pt idx="15">
                  <c:v>FROTI RS35X600ML</c:v>
                </c:pt>
                <c:pt idx="16">
                  <c:v>G GHEE 1000ML RT X10P MRP499</c:v>
                </c:pt>
                <c:pt idx="17">
                  <c:v>FROTI RS 20X300ML</c:v>
                </c:pt>
                <c:pt idx="18">
                  <c:v>AP FE 250MLRS 15</c:v>
                </c:pt>
                <c:pt idx="19">
                  <c:v>PEPSI 300ML PET30RS20PROMO</c:v>
                </c:pt>
                <c:pt idx="20">
                  <c:v>MOUNTAIN DEW300MLPET 30RS20</c:v>
                </c:pt>
                <c:pt idx="21">
                  <c:v>Smodh Cofi</c:v>
                </c:pt>
                <c:pt idx="22">
                  <c:v>Gobardhan Ghee 200mlx</c:v>
                </c:pt>
                <c:pt idx="23">
                  <c:v>SWAGAT 1LT</c:v>
                </c:pt>
                <c:pt idx="24">
                  <c:v>Agst Ref</c:v>
                </c:pt>
                <c:pt idx="25">
                  <c:v>7UP1.25L PET12RS60</c:v>
                </c:pt>
                <c:pt idx="26">
                  <c:v>FROTIRS 64X12ML</c:v>
                </c:pt>
                <c:pt idx="27">
                  <c:v>SLICE 200ML RGP24RS12</c:v>
                </c:pt>
                <c:pt idx="28">
                  <c:v>PEPSI CO 200ML RGP24RS12</c:v>
                </c:pt>
                <c:pt idx="29">
                  <c:v>MOUNTAIN DEW 200ML RGP24RS12</c:v>
                </c:pt>
                <c:pt idx="30">
                  <c:v>Ac Pt Rs10</c:v>
                </c:pt>
                <c:pt idx="31">
                  <c:v>PEPSI BLACK CAN</c:v>
                </c:pt>
                <c:pt idx="32">
                  <c:v>7up 600ml Rs30</c:v>
                </c:pt>
                <c:pt idx="33">
                  <c:v>7UP750ML PET24RS38</c:v>
                </c:pt>
                <c:pt idx="34">
                  <c:v>PEPSI 2.25L PET9 RS90 PROMO</c:v>
                </c:pt>
                <c:pt idx="35">
                  <c:v>Lichi Pran</c:v>
                </c:pt>
                <c:pt idx="36">
                  <c:v>SWAGAT 500ML</c:v>
                </c:pt>
                <c:pt idx="37">
                  <c:v>APP FIZE 600MLRS</c:v>
                </c:pt>
                <c:pt idx="38">
                  <c:v>B Fize 250ml Rs15</c:v>
                </c:pt>
                <c:pt idx="39">
                  <c:v>Sprite 2.25</c:v>
                </c:pt>
                <c:pt idx="40">
                  <c:v>SLICE 250MLPET30 RS20</c:v>
                </c:pt>
                <c:pt idx="41">
                  <c:v>Pepsi 600ml Rs30</c:v>
                </c:pt>
                <c:pt idx="42">
                  <c:v>AP FEE 160ML RS10</c:v>
                </c:pt>
                <c:pt idx="43">
                  <c:v>7up200mlRGP24 RX12</c:v>
                </c:pt>
                <c:pt idx="44">
                  <c:v>MOUNTEN DEW CAN</c:v>
                </c:pt>
                <c:pt idx="45">
                  <c:v>MIRINDA OR 300ML PET30RS20</c:v>
                </c:pt>
                <c:pt idx="46">
                  <c:v>TROP MIX FRUT 1LT..</c:v>
                </c:pt>
                <c:pt idx="47">
                  <c:v>Pepsi750ml</c:v>
                </c:pt>
                <c:pt idx="48">
                  <c:v>PEPSI 1.25PET12RS60PROMO</c:v>
                </c:pt>
                <c:pt idx="49">
                  <c:v>Mountain Dew Ice 250 Ml</c:v>
                </c:pt>
                <c:pt idx="50">
                  <c:v>Gobardhan Ghee 5kgx4</c:v>
                </c:pt>
                <c:pt idx="51">
                  <c:v>7UP 250ML CAN</c:v>
                </c:pt>
                <c:pt idx="52">
                  <c:v>TADKA CHAACH</c:v>
                </c:pt>
                <c:pt idx="53">
                  <c:v>MIRINDA OR 2.25L RS90</c:v>
                </c:pt>
                <c:pt idx="54">
                  <c:v>PEPSI CANE</c:v>
                </c:pt>
                <c:pt idx="55">
                  <c:v>Hand Santizer 500ml</c:v>
                </c:pt>
                <c:pt idx="56">
                  <c:v>MOUNTAIN DEW 2.25L PT 9RS90</c:v>
                </c:pt>
                <c:pt idx="57">
                  <c:v>MOUNTAIN DEW1.25L PET12RS60</c:v>
                </c:pt>
                <c:pt idx="58">
                  <c:v>SLICE 1.2L PET 12RS65</c:v>
                </c:pt>
                <c:pt idx="59">
                  <c:v>M Bize Jar</c:v>
                </c:pt>
                <c:pt idx="60">
                  <c:v>C326 K A J Rs150</c:v>
                </c:pt>
                <c:pt idx="61">
                  <c:v>G GHEE 500ML RT X20 MRP255</c:v>
                </c:pt>
                <c:pt idx="62">
                  <c:v>FROTI RS 5X65ML</c:v>
                </c:pt>
                <c:pt idx="63">
                  <c:v>MOUNTAIN DEW 750ML PET 24RS38NEON</c:v>
                </c:pt>
                <c:pt idx="64">
                  <c:v>MIRINDA OR 1.25PET 12RS60</c:v>
                </c:pt>
                <c:pt idx="65">
                  <c:v>Froti Pet Rs10</c:v>
                </c:pt>
                <c:pt idx="66">
                  <c:v>AP FEE1000MLRS55</c:v>
                </c:pt>
                <c:pt idx="67">
                  <c:v>BG395 TOP RS20</c:v>
                </c:pt>
                <c:pt idx="68">
                  <c:v>Mountain Dew Ice 600 Ml</c:v>
                </c:pt>
                <c:pt idx="69">
                  <c:v>MILK MANGO 200ML PET24 RS30</c:v>
                </c:pt>
                <c:pt idx="70">
                  <c:v>FROTI 200ML RS15</c:v>
                </c:pt>
                <c:pt idx="71">
                  <c:v>Mountain Dew 600ml Rs 30</c:v>
                </c:pt>
                <c:pt idx="72">
                  <c:v>Trop Litchi 500ml Rs 40</c:v>
                </c:pt>
                <c:pt idx="73">
                  <c:v>Mirinda 600ml Rs30</c:v>
                </c:pt>
                <c:pt idx="74">
                  <c:v>C308 Assort Mazelo 24p Rs50</c:v>
                </c:pt>
                <c:pt idx="75">
                  <c:v>TROP ORANGE 1L</c:v>
                </c:pt>
                <c:pt idx="76">
                  <c:v>M Brize Rs10x20</c:v>
                </c:pt>
                <c:pt idx="77">
                  <c:v>Aquafina 500ml Rs 10</c:v>
                </c:pt>
                <c:pt idx="78">
                  <c:v>Trop Guava 500ml Rs40</c:v>
                </c:pt>
                <c:pt idx="79">
                  <c:v>Empt Carate</c:v>
                </c:pt>
                <c:pt idx="80">
                  <c:v>Froti Df Can</c:v>
                </c:pt>
                <c:pt idx="81">
                  <c:v>Gobardhan Ghee 100mlx100</c:v>
                </c:pt>
                <c:pt idx="82">
                  <c:v>TROP PR MIX FRUIT 200ml</c:v>
                </c:pt>
                <c:pt idx="83">
                  <c:v>Bg417 Magix Or Rs10</c:v>
                </c:pt>
                <c:pt idx="84">
                  <c:v>C174 KACCHA MANGO PU 20P</c:v>
                </c:pt>
                <c:pt idx="85">
                  <c:v>B Fize 600ml Rs33</c:v>
                </c:pt>
                <c:pt idx="86">
                  <c:v>T192 Kismi Toffee Rs.50x40pu</c:v>
                </c:pt>
                <c:pt idx="87">
                  <c:v>MILK CHOCOLATE 200ML24RS30</c:v>
                </c:pt>
                <c:pt idx="88">
                  <c:v>C194 POPPINS RS5</c:v>
                </c:pt>
                <c:pt idx="89">
                  <c:v>MIRINDA OR CAN</c:v>
                </c:pt>
                <c:pt idx="90">
                  <c:v>FROTI GP</c:v>
                </c:pt>
                <c:pt idx="91">
                  <c:v>ACTP 200ML MRP15</c:v>
                </c:pt>
                <c:pt idx="92">
                  <c:v>C331 Mango Bite 800 2jar</c:v>
                </c:pt>
                <c:pt idx="93">
                  <c:v>Swagat Ghee Tin</c:v>
                </c:pt>
                <c:pt idx="94">
                  <c:v>C332 LON DERRY J RS150</c:v>
                </c:pt>
                <c:pt idx="95">
                  <c:v>MILK COFFEE 200ML 24RS30</c:v>
                </c:pt>
                <c:pt idx="96">
                  <c:v>K Hot Lime Pickel 300g</c:v>
                </c:pt>
                <c:pt idx="97">
                  <c:v>MIRINDA OR 200ML RGP24RS12</c:v>
                </c:pt>
                <c:pt idx="98">
                  <c:v>C337 ORANGE BITEJ RS150</c:v>
                </c:pt>
                <c:pt idx="99">
                  <c:v>Trop Pr Pomegranate 500ml Rs40</c:v>
                </c:pt>
                <c:pt idx="100">
                  <c:v>C339 Orange Bite 800 2j</c:v>
                </c:pt>
                <c:pt idx="101">
                  <c:v>SWAGAT 200ML</c:v>
                </c:pt>
                <c:pt idx="102">
                  <c:v>sting 11 7up 2 return</c:v>
                </c:pt>
                <c:pt idx="103">
                  <c:v>carate balance</c:v>
                </c:pt>
                <c:pt idx="104">
                  <c:v>pattnaik laphari pada</c:v>
                </c:pt>
                <c:pt idx="105">
                  <c:v>rajan karamdehi</c:v>
                </c:pt>
                <c:pt idx="106">
                  <c:v>(blank)</c:v>
                </c:pt>
                <c:pt idx="107">
                  <c:v>pattnaik store laphari pada</c:v>
                </c:pt>
                <c:pt idx="108">
                  <c:v>On Account</c:v>
                </c:pt>
              </c:strCache>
            </c:strRef>
          </c:cat>
          <c:val>
            <c:numRef>
              <c:f>' Top-Selling Products'!$B$4:$B$113</c:f>
              <c:numCache>
                <c:formatCode>General</c:formatCode>
                <c:ptCount val="109"/>
                <c:pt idx="0">
                  <c:v>291</c:v>
                </c:pt>
                <c:pt idx="1">
                  <c:v>145</c:v>
                </c:pt>
                <c:pt idx="2">
                  <c:v>131</c:v>
                </c:pt>
                <c:pt idx="3">
                  <c:v>102</c:v>
                </c:pt>
                <c:pt idx="4">
                  <c:v>94</c:v>
                </c:pt>
                <c:pt idx="5">
                  <c:v>58</c:v>
                </c:pt>
                <c:pt idx="6">
                  <c:v>53</c:v>
                </c:pt>
                <c:pt idx="7">
                  <c:v>45</c:v>
                </c:pt>
                <c:pt idx="8">
                  <c:v>34</c:v>
                </c:pt>
                <c:pt idx="9">
                  <c:v>33</c:v>
                </c:pt>
                <c:pt idx="10">
                  <c:v>32</c:v>
                </c:pt>
                <c:pt idx="11">
                  <c:v>32</c:v>
                </c:pt>
                <c:pt idx="12">
                  <c:v>30</c:v>
                </c:pt>
                <c:pt idx="13">
                  <c:v>28</c:v>
                </c:pt>
                <c:pt idx="14">
                  <c:v>27</c:v>
                </c:pt>
                <c:pt idx="15">
                  <c:v>26</c:v>
                </c:pt>
                <c:pt idx="16">
                  <c:v>25</c:v>
                </c:pt>
                <c:pt idx="17">
                  <c:v>25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23</c:v>
                </c:pt>
                <c:pt idx="22">
                  <c:v>23</c:v>
                </c:pt>
                <c:pt idx="23">
                  <c:v>18</c:v>
                </c:pt>
                <c:pt idx="24">
                  <c:v>17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11</c:v>
                </c:pt>
                <c:pt idx="32">
                  <c:v>11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C0-4D3B-A1AD-D0F95D2B2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3794240"/>
        <c:axId val="1603789440"/>
      </c:barChart>
      <c:catAx>
        <c:axId val="1603794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789440"/>
        <c:crosses val="autoZero"/>
        <c:auto val="1"/>
        <c:lblAlgn val="ctr"/>
        <c:lblOffset val="100"/>
        <c:noMultiLvlLbl val="0"/>
      </c:catAx>
      <c:valAx>
        <c:axId val="160378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79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[updated_data (1) - Copy.xlsx]Monthly Sales Trends!PivotTable7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'Monthly Sales Trends'!$B$3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'Monthly Sales Trends'!$A$4:$A$16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'Monthly Sales Trends'!$B$4:$B$16</c:f>
              <c:numCache>
                <c:formatCode>General</c:formatCode>
                <c:ptCount val="12"/>
                <c:pt idx="0">
                  <c:v>227815.97</c:v>
                </c:pt>
                <c:pt idx="1">
                  <c:v>566796</c:v>
                </c:pt>
                <c:pt idx="2">
                  <c:v>1510600</c:v>
                </c:pt>
                <c:pt idx="3">
                  <c:v>645447</c:v>
                </c:pt>
                <c:pt idx="4">
                  <c:v>218802</c:v>
                </c:pt>
                <c:pt idx="5">
                  <c:v>457785</c:v>
                </c:pt>
                <c:pt idx="6">
                  <c:v>289395</c:v>
                </c:pt>
                <c:pt idx="7">
                  <c:v>365740</c:v>
                </c:pt>
                <c:pt idx="8">
                  <c:v>537582</c:v>
                </c:pt>
                <c:pt idx="9">
                  <c:v>396862</c:v>
                </c:pt>
                <c:pt idx="10">
                  <c:v>332168</c:v>
                </c:pt>
                <c:pt idx="11">
                  <c:v>196163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9-41E2-9356-EA947821B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3477648"/>
        <c:axId val="133473328"/>
        <c:axId val="0"/>
      </c:bar3DChart>
      <c:catAx>
        <c:axId val="13347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73328"/>
        <c:crosses val="autoZero"/>
        <c:auto val="1"/>
        <c:lblAlgn val="ctr"/>
        <c:lblOffset val="100"/>
        <c:noMultiLvlLbl val="0"/>
      </c:catAx>
      <c:valAx>
        <c:axId val="13347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7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[updated_data (1) - Copy.xlsx]PIe chart For products!PivotTable9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'PIe chart For products'!$B$3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7E6-4BFA-A0DB-ADB72A75B1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7E6-4BFA-A0DB-ADB72A75B1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7E6-4BFA-A0DB-ADB72A75B1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7E6-4BFA-A0DB-ADB72A75B1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7E6-4BFA-A0DB-ADB72A75B1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7E6-4BFA-A0DB-ADB72A75B1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7E6-4BFA-A0DB-ADB72A75B1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7E6-4BFA-A0DB-ADB72A75B1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7E6-4BFA-A0DB-ADB72A75B1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7E6-4BFA-A0DB-ADB72A75B1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7E6-4BFA-A0DB-ADB72A75B1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7E6-4BFA-A0DB-ADB72A75B1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C7E6-4BFA-A0DB-ADB72A75B1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C7E6-4BFA-A0DB-ADB72A75B1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C7E6-4BFA-A0DB-ADB72A75B1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C7E6-4BFA-A0DB-ADB72A75B1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C7E6-4BFA-A0DB-ADB72A75B1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C7E6-4BFA-A0DB-ADB72A75B1A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C7E6-4BFA-A0DB-ADB72A75B1A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C7E6-4BFA-A0DB-ADB72A75B1A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C7E6-4BFA-A0DB-ADB72A75B1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C7E6-4BFA-A0DB-ADB72A75B1A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C7E6-4BFA-A0DB-ADB72A75B1A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C7E6-4BFA-A0DB-ADB72A75B1A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C7E6-4BFA-A0DB-ADB72A75B1A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C7E6-4BFA-A0DB-ADB72A75B1A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C7E6-4BFA-A0DB-ADB72A75B1A8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C7E6-4BFA-A0DB-ADB72A75B1A8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C7E6-4BFA-A0DB-ADB72A75B1A8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C7E6-4BFA-A0DB-ADB72A75B1A8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D-C7E6-4BFA-A0DB-ADB72A75B1A8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F-C7E6-4BFA-A0DB-ADB72A75B1A8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1-C7E6-4BFA-A0DB-ADB72A75B1A8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3-C7E6-4BFA-A0DB-ADB72A75B1A8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5-C7E6-4BFA-A0DB-ADB72A75B1A8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7-C7E6-4BFA-A0DB-ADB72A75B1A8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9-C7E6-4BFA-A0DB-ADB72A75B1A8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B-C7E6-4BFA-A0DB-ADB72A75B1A8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D-C7E6-4BFA-A0DB-ADB72A75B1A8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4F-C7E6-4BFA-A0DB-ADB72A75B1A8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1-C7E6-4BFA-A0DB-ADB72A75B1A8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3-C7E6-4BFA-A0DB-ADB72A75B1A8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5-C7E6-4BFA-A0DB-ADB72A75B1A8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7-C7E6-4BFA-A0DB-ADB72A75B1A8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9-C7E6-4BFA-A0DB-ADB72A75B1A8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B-C7E6-4BFA-A0DB-ADB72A75B1A8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D-C7E6-4BFA-A0DB-ADB72A75B1A8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5F-C7E6-4BFA-A0DB-ADB72A75B1A8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1-C7E6-4BFA-A0DB-ADB72A75B1A8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3-C7E6-4BFA-A0DB-ADB72A75B1A8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5-C7E6-4BFA-A0DB-ADB72A75B1A8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7-C7E6-4BFA-A0DB-ADB72A75B1A8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9-C7E6-4BFA-A0DB-ADB72A75B1A8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B-C7E6-4BFA-A0DB-ADB72A75B1A8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D-C7E6-4BFA-A0DB-ADB72A75B1A8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6F-C7E6-4BFA-A0DB-ADB72A75B1A8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1-C7E6-4BFA-A0DB-ADB72A75B1A8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3-C7E6-4BFA-A0DB-ADB72A75B1A8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5-C7E6-4BFA-A0DB-ADB72A75B1A8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7-C7E6-4BFA-A0DB-ADB72A75B1A8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9-C7E6-4BFA-A0DB-ADB72A75B1A8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B-C7E6-4BFA-A0DB-ADB72A75B1A8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D-C7E6-4BFA-A0DB-ADB72A75B1A8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7F-C7E6-4BFA-A0DB-ADB72A75B1A8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1-C7E6-4BFA-A0DB-ADB72A75B1A8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3-C7E6-4BFA-A0DB-ADB72A75B1A8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5-C7E6-4BFA-A0DB-ADB72A75B1A8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7-C7E6-4BFA-A0DB-ADB72A75B1A8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9-C7E6-4BFA-A0DB-ADB72A75B1A8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B-C7E6-4BFA-A0DB-ADB72A75B1A8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D-C7E6-4BFA-A0DB-ADB72A75B1A8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8F-C7E6-4BFA-A0DB-ADB72A75B1A8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1-C7E6-4BFA-A0DB-ADB72A75B1A8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3-C7E6-4BFA-A0DB-ADB72A75B1A8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5-C7E6-4BFA-A0DB-ADB72A75B1A8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7-C7E6-4BFA-A0DB-ADB72A75B1A8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9-C7E6-4BFA-A0DB-ADB72A75B1A8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B-C7E6-4BFA-A0DB-ADB72A75B1A8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D-C7E6-4BFA-A0DB-ADB72A75B1A8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9F-C7E6-4BFA-A0DB-ADB72A75B1A8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1-C7E6-4BFA-A0DB-ADB72A75B1A8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3-C7E6-4BFA-A0DB-ADB72A75B1A8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5-C7E6-4BFA-A0DB-ADB72A75B1A8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7-C7E6-4BFA-A0DB-ADB72A75B1A8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9-C7E6-4BFA-A0DB-ADB72A75B1A8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B-C7E6-4BFA-A0DB-ADB72A75B1A8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D-C7E6-4BFA-A0DB-ADB72A75B1A8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AF-C7E6-4BFA-A0DB-ADB72A75B1A8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1-C7E6-4BFA-A0DB-ADB72A75B1A8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3-C7E6-4BFA-A0DB-ADB72A75B1A8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5-C7E6-4BFA-A0DB-ADB72A75B1A8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7-C7E6-4BFA-A0DB-ADB72A75B1A8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9-C7E6-4BFA-A0DB-ADB72A75B1A8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B-C7E6-4BFA-A0DB-ADB72A75B1A8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D-C7E6-4BFA-A0DB-ADB72A75B1A8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BF-C7E6-4BFA-A0DB-ADB72A75B1A8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1-C7E6-4BFA-A0DB-ADB72A75B1A8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3-C7E6-4BFA-A0DB-ADB72A75B1A8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5-C7E6-4BFA-A0DB-ADB72A75B1A8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7-C7E6-4BFA-A0DB-ADB72A75B1A8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9-C7E6-4BFA-A0DB-ADB72A75B1A8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B-C7E6-4BFA-A0DB-ADB72A75B1A8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D-C7E6-4BFA-A0DB-ADB72A75B1A8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CF-C7E6-4BFA-A0DB-ADB72A75B1A8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D1-C7E6-4BFA-A0DB-ADB72A75B1A8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D3-C7E6-4BFA-A0DB-ADB72A75B1A8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D5-C7E6-4BFA-A0DB-ADB72A75B1A8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D7-C7E6-4BFA-A0DB-ADB72A75B1A8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D9-C7E6-4BFA-A0DB-ADB72A75B1A8}"/>
              </c:ext>
            </c:extLst>
          </c:dPt>
          <c:cat>
            <c:strRef>
              <c:f>'PIe chart For products'!$A$4:$A$113</c:f>
              <c:strCache>
                <c:ptCount val="109"/>
                <c:pt idx="0">
                  <c:v>Froti Rs 10</c:v>
                </c:pt>
                <c:pt idx="1">
                  <c:v>Tata Gulco Lemon</c:v>
                </c:pt>
                <c:pt idx="2">
                  <c:v>STING 250ML PET24RS20</c:v>
                </c:pt>
                <c:pt idx="3">
                  <c:v>Bonzo</c:v>
                </c:pt>
                <c:pt idx="4">
                  <c:v>Appy Fee Rs 10x40</c:v>
                </c:pt>
                <c:pt idx="5">
                  <c:v>Agst Ref</c:v>
                </c:pt>
                <c:pt idx="6">
                  <c:v>Gobardhan Ghee 1ltrx18</c:v>
                </c:pt>
                <c:pt idx="7">
                  <c:v>G GHEE 1000ML RT X10P MRP499</c:v>
                </c:pt>
                <c:pt idx="8">
                  <c:v>Gobardhan Ghee 500mlx36</c:v>
                </c:pt>
                <c:pt idx="9">
                  <c:v>B FIZZE RS10</c:v>
                </c:pt>
                <c:pt idx="10">
                  <c:v>7UP 300MLPET30RS20</c:v>
                </c:pt>
                <c:pt idx="11">
                  <c:v>Jaljeera</c:v>
                </c:pt>
                <c:pt idx="12">
                  <c:v>Gobardhan Ghee 200mlx</c:v>
                </c:pt>
                <c:pt idx="13">
                  <c:v>FROTI RS35X600ML</c:v>
                </c:pt>
                <c:pt idx="14">
                  <c:v>AQUAFINA 1L PET 15 RS20</c:v>
                </c:pt>
                <c:pt idx="15">
                  <c:v>PEPSI BLACK CAN</c:v>
                </c:pt>
                <c:pt idx="16">
                  <c:v>Smood Tofi</c:v>
                </c:pt>
                <c:pt idx="17">
                  <c:v>Smodh Cofi</c:v>
                </c:pt>
                <c:pt idx="18">
                  <c:v>7UP2.25L PET 9RS 90</c:v>
                </c:pt>
                <c:pt idx="19">
                  <c:v>SWAGAT 1LT</c:v>
                </c:pt>
                <c:pt idx="20">
                  <c:v>Smoodh</c:v>
                </c:pt>
                <c:pt idx="21">
                  <c:v>FROTI RS98X2000ML</c:v>
                </c:pt>
                <c:pt idx="22">
                  <c:v>FROTI RS 20X300ML</c:v>
                </c:pt>
                <c:pt idx="23">
                  <c:v>AP FE 250MLRS 15</c:v>
                </c:pt>
                <c:pt idx="24">
                  <c:v>PEPSI 300ML PET30RS20PROMO</c:v>
                </c:pt>
                <c:pt idx="25">
                  <c:v>MOUNTAIN DEW300MLPET 30RS20</c:v>
                </c:pt>
                <c:pt idx="26">
                  <c:v>Gobardhan Ghee 5kgx4</c:v>
                </c:pt>
                <c:pt idx="27">
                  <c:v>FROTIRS 64X12ML</c:v>
                </c:pt>
                <c:pt idx="28">
                  <c:v>G GHEE 500ML RT X20 MRP255</c:v>
                </c:pt>
                <c:pt idx="29">
                  <c:v>SWAGAT 500ML</c:v>
                </c:pt>
                <c:pt idx="30">
                  <c:v>7up200mlRGP24 RX12</c:v>
                </c:pt>
                <c:pt idx="31">
                  <c:v>7UP1.25L PET12RS60</c:v>
                </c:pt>
                <c:pt idx="32">
                  <c:v>PEPSI CO 200ML RGP24RS12</c:v>
                </c:pt>
                <c:pt idx="33">
                  <c:v>7up 600ml Rs30</c:v>
                </c:pt>
                <c:pt idx="34">
                  <c:v>7UP750ML PET24RS38</c:v>
                </c:pt>
                <c:pt idx="35">
                  <c:v>MOUNTAIN DEW 200ML RGP24RS12</c:v>
                </c:pt>
                <c:pt idx="36">
                  <c:v>SLICE 200ML RGP24RS12</c:v>
                </c:pt>
                <c:pt idx="37">
                  <c:v>Ac Pt Rs10</c:v>
                </c:pt>
                <c:pt idx="38">
                  <c:v>APP FIZE 600MLRS</c:v>
                </c:pt>
                <c:pt idx="39">
                  <c:v>Empt Carate</c:v>
                </c:pt>
                <c:pt idx="40">
                  <c:v>PEPSI 2.25L PET9 RS90 PROMO</c:v>
                </c:pt>
                <c:pt idx="41">
                  <c:v>SLICE 250MLPET30 RS20</c:v>
                </c:pt>
                <c:pt idx="42">
                  <c:v>On Account</c:v>
                </c:pt>
                <c:pt idx="43">
                  <c:v>AP FEE 160ML RS10</c:v>
                </c:pt>
                <c:pt idx="44">
                  <c:v>7UP 250ML CAN</c:v>
                </c:pt>
                <c:pt idx="45">
                  <c:v>Lichi Pran</c:v>
                </c:pt>
                <c:pt idx="46">
                  <c:v>Froti Pet Rs10</c:v>
                </c:pt>
                <c:pt idx="47">
                  <c:v>MOUNTEN DEW CAN</c:v>
                </c:pt>
                <c:pt idx="48">
                  <c:v>MIRINDA OR 300ML PET30RS20</c:v>
                </c:pt>
                <c:pt idx="49">
                  <c:v>FROTI RS 5X65ML</c:v>
                </c:pt>
                <c:pt idx="50">
                  <c:v>BG395 TOP RS20</c:v>
                </c:pt>
                <c:pt idx="51">
                  <c:v>Pepsi750ml</c:v>
                </c:pt>
                <c:pt idx="52">
                  <c:v>Pepsi 600ml Rs30</c:v>
                </c:pt>
                <c:pt idx="53">
                  <c:v>Bg417 Magix Or Rs10</c:v>
                </c:pt>
                <c:pt idx="54">
                  <c:v>MOUNTAIN DEW 2.25L PT 9RS90</c:v>
                </c:pt>
                <c:pt idx="55">
                  <c:v>B Fize 250ml Rs15</c:v>
                </c:pt>
                <c:pt idx="56">
                  <c:v>AP FEE1000MLRS55</c:v>
                </c:pt>
                <c:pt idx="57">
                  <c:v>Sprite 2.25</c:v>
                </c:pt>
                <c:pt idx="58">
                  <c:v>C326 K A J Rs150</c:v>
                </c:pt>
                <c:pt idx="59">
                  <c:v>Swagat Ghee Tin</c:v>
                </c:pt>
                <c:pt idx="60">
                  <c:v>PEPSI CANE</c:v>
                </c:pt>
                <c:pt idx="61">
                  <c:v>TROP MIX FRUT 1LT..</c:v>
                </c:pt>
                <c:pt idx="62">
                  <c:v>MIRINDA OR 2.25L RS90</c:v>
                </c:pt>
                <c:pt idx="63">
                  <c:v>C337 ORANGE BITEJ RS150</c:v>
                </c:pt>
                <c:pt idx="64">
                  <c:v>C332 LON DERRY J RS150</c:v>
                </c:pt>
                <c:pt idx="65">
                  <c:v>MOUNTAIN DEW 750ML PET 24RS38NEON</c:v>
                </c:pt>
                <c:pt idx="66">
                  <c:v>PEPSI 1.25PET12RS60PROMO</c:v>
                </c:pt>
                <c:pt idx="67">
                  <c:v>Mountain Dew Ice 250 Ml</c:v>
                </c:pt>
                <c:pt idx="68">
                  <c:v>SLICE 1.2L PET 12RS65</c:v>
                </c:pt>
                <c:pt idx="69">
                  <c:v>Hand Santizer 500ml</c:v>
                </c:pt>
                <c:pt idx="70">
                  <c:v>MIRINDA OR 200ML RGP24RS12</c:v>
                </c:pt>
                <c:pt idx="71">
                  <c:v>M Bize Jar</c:v>
                </c:pt>
                <c:pt idx="72">
                  <c:v>Mirinda 600ml Rs30</c:v>
                </c:pt>
                <c:pt idx="73">
                  <c:v>Mountain Dew 600ml Rs 30</c:v>
                </c:pt>
                <c:pt idx="74">
                  <c:v>MIRINDA OR CAN</c:v>
                </c:pt>
                <c:pt idx="75">
                  <c:v>MOUNTAIN DEW1.25L PET12RS60</c:v>
                </c:pt>
                <c:pt idx="76">
                  <c:v>Trop Litchi 500ml Rs 40</c:v>
                </c:pt>
                <c:pt idx="77">
                  <c:v>TROP PR MIX FRUIT 200ml</c:v>
                </c:pt>
                <c:pt idx="78">
                  <c:v>C174 KACCHA MANGO PU 20P</c:v>
                </c:pt>
                <c:pt idx="79">
                  <c:v>Gobardhan Ghee 100mlx100</c:v>
                </c:pt>
                <c:pt idx="80">
                  <c:v>SWAGAT 200ML</c:v>
                </c:pt>
                <c:pt idx="81">
                  <c:v>C308 Assort Mazelo 24p Rs50</c:v>
                </c:pt>
                <c:pt idx="82">
                  <c:v>MILK MANGO 200ML PET24 RS30</c:v>
                </c:pt>
                <c:pt idx="83">
                  <c:v>MIRINDA OR 1.25PET 12RS60</c:v>
                </c:pt>
                <c:pt idx="84">
                  <c:v>Trop Guava 500ml Rs40</c:v>
                </c:pt>
                <c:pt idx="85">
                  <c:v>Trop Pr Pomegranate 500ml Rs40</c:v>
                </c:pt>
                <c:pt idx="86">
                  <c:v>T192 Kismi Toffee Rs.50x40pu</c:v>
                </c:pt>
                <c:pt idx="87">
                  <c:v>TADKA CHAACH</c:v>
                </c:pt>
                <c:pt idx="88">
                  <c:v>Mountain Dew Ice 600 Ml</c:v>
                </c:pt>
                <c:pt idx="89">
                  <c:v>Froti Df Can</c:v>
                </c:pt>
                <c:pt idx="90">
                  <c:v>Aquafina 500ml Rs 10</c:v>
                </c:pt>
                <c:pt idx="91">
                  <c:v>C339 Orange Bite 800 2j</c:v>
                </c:pt>
                <c:pt idx="92">
                  <c:v>TROP ORANGE 1L</c:v>
                </c:pt>
                <c:pt idx="93">
                  <c:v>MILK COFFEE 200ML 24RS30</c:v>
                </c:pt>
                <c:pt idx="94">
                  <c:v>MILK CHOCOLATE 200ML24RS30</c:v>
                </c:pt>
                <c:pt idx="95">
                  <c:v>M Brize Rs10x20</c:v>
                </c:pt>
                <c:pt idx="96">
                  <c:v>C331 Mango Bite 800 2jar</c:v>
                </c:pt>
                <c:pt idx="97">
                  <c:v>FROTI 200ML RS15</c:v>
                </c:pt>
                <c:pt idx="98">
                  <c:v>B Fize 600ml Rs33</c:v>
                </c:pt>
                <c:pt idx="99">
                  <c:v>C194 POPPINS RS5</c:v>
                </c:pt>
                <c:pt idx="100">
                  <c:v>K Hot Lime Pickel 300g</c:v>
                </c:pt>
                <c:pt idx="101">
                  <c:v>sting 11 7up 2 return</c:v>
                </c:pt>
                <c:pt idx="102">
                  <c:v>(blank)</c:v>
                </c:pt>
                <c:pt idx="103">
                  <c:v>pattnaik laphari pada</c:v>
                </c:pt>
                <c:pt idx="104">
                  <c:v>FROTI GP</c:v>
                </c:pt>
                <c:pt idx="105">
                  <c:v>pattnaik store laphari pada</c:v>
                </c:pt>
                <c:pt idx="106">
                  <c:v>rajan karamdehi</c:v>
                </c:pt>
                <c:pt idx="107">
                  <c:v>ACTP 200ML MRP15</c:v>
                </c:pt>
                <c:pt idx="108">
                  <c:v>carate balance</c:v>
                </c:pt>
              </c:strCache>
            </c:strRef>
          </c:cat>
          <c:val>
            <c:numRef>
              <c:f>'PIe chart For products'!$B$4:$B$113</c:f>
              <c:numCache>
                <c:formatCode>General</c:formatCode>
                <c:ptCount val="109"/>
                <c:pt idx="0">
                  <c:v>1932875</c:v>
                </c:pt>
                <c:pt idx="1">
                  <c:v>677430</c:v>
                </c:pt>
                <c:pt idx="2">
                  <c:v>642692</c:v>
                </c:pt>
                <c:pt idx="3">
                  <c:v>412660</c:v>
                </c:pt>
                <c:pt idx="4">
                  <c:v>229162</c:v>
                </c:pt>
                <c:pt idx="5">
                  <c:v>174005</c:v>
                </c:pt>
                <c:pt idx="6">
                  <c:v>142437</c:v>
                </c:pt>
                <c:pt idx="7">
                  <c:v>141450</c:v>
                </c:pt>
                <c:pt idx="8">
                  <c:v>129243</c:v>
                </c:pt>
                <c:pt idx="9">
                  <c:v>110652</c:v>
                </c:pt>
                <c:pt idx="10">
                  <c:v>88135</c:v>
                </c:pt>
                <c:pt idx="11">
                  <c:v>65205</c:v>
                </c:pt>
                <c:pt idx="12">
                  <c:v>59665</c:v>
                </c:pt>
                <c:pt idx="13">
                  <c:v>57900</c:v>
                </c:pt>
                <c:pt idx="14">
                  <c:v>56545</c:v>
                </c:pt>
                <c:pt idx="15">
                  <c:v>56125</c:v>
                </c:pt>
                <c:pt idx="16">
                  <c:v>53505</c:v>
                </c:pt>
                <c:pt idx="17">
                  <c:v>51220</c:v>
                </c:pt>
                <c:pt idx="18">
                  <c:v>48789</c:v>
                </c:pt>
                <c:pt idx="19">
                  <c:v>46040</c:v>
                </c:pt>
                <c:pt idx="20">
                  <c:v>45620</c:v>
                </c:pt>
                <c:pt idx="21">
                  <c:v>41840</c:v>
                </c:pt>
                <c:pt idx="22">
                  <c:v>41510</c:v>
                </c:pt>
                <c:pt idx="23">
                  <c:v>38166</c:v>
                </c:pt>
                <c:pt idx="24">
                  <c:v>37799</c:v>
                </c:pt>
                <c:pt idx="25">
                  <c:v>33085</c:v>
                </c:pt>
                <c:pt idx="26">
                  <c:v>31360</c:v>
                </c:pt>
                <c:pt idx="27">
                  <c:v>26240</c:v>
                </c:pt>
                <c:pt idx="28">
                  <c:v>25000</c:v>
                </c:pt>
                <c:pt idx="29">
                  <c:v>24170</c:v>
                </c:pt>
                <c:pt idx="30">
                  <c:v>23550</c:v>
                </c:pt>
                <c:pt idx="31">
                  <c:v>18595</c:v>
                </c:pt>
                <c:pt idx="32">
                  <c:v>18452</c:v>
                </c:pt>
                <c:pt idx="33">
                  <c:v>16720</c:v>
                </c:pt>
                <c:pt idx="34">
                  <c:v>16102</c:v>
                </c:pt>
                <c:pt idx="35">
                  <c:v>15984</c:v>
                </c:pt>
                <c:pt idx="36">
                  <c:v>14050</c:v>
                </c:pt>
                <c:pt idx="37">
                  <c:v>12840</c:v>
                </c:pt>
                <c:pt idx="38">
                  <c:v>12725</c:v>
                </c:pt>
                <c:pt idx="39">
                  <c:v>12000</c:v>
                </c:pt>
                <c:pt idx="40">
                  <c:v>11640</c:v>
                </c:pt>
                <c:pt idx="41">
                  <c:v>11570</c:v>
                </c:pt>
                <c:pt idx="42">
                  <c:v>11090</c:v>
                </c:pt>
                <c:pt idx="43">
                  <c:v>10555</c:v>
                </c:pt>
                <c:pt idx="44">
                  <c:v>10372</c:v>
                </c:pt>
                <c:pt idx="45">
                  <c:v>10080</c:v>
                </c:pt>
                <c:pt idx="46">
                  <c:v>9990</c:v>
                </c:pt>
                <c:pt idx="47">
                  <c:v>9685</c:v>
                </c:pt>
                <c:pt idx="48">
                  <c:v>8555</c:v>
                </c:pt>
                <c:pt idx="49">
                  <c:v>8475</c:v>
                </c:pt>
                <c:pt idx="50">
                  <c:v>8400</c:v>
                </c:pt>
                <c:pt idx="51">
                  <c:v>7885</c:v>
                </c:pt>
                <c:pt idx="52">
                  <c:v>7730</c:v>
                </c:pt>
                <c:pt idx="53">
                  <c:v>7305</c:v>
                </c:pt>
                <c:pt idx="54">
                  <c:v>6750</c:v>
                </c:pt>
                <c:pt idx="55">
                  <c:v>6745</c:v>
                </c:pt>
                <c:pt idx="56">
                  <c:v>6649.97</c:v>
                </c:pt>
                <c:pt idx="57">
                  <c:v>6457</c:v>
                </c:pt>
                <c:pt idx="58">
                  <c:v>5925</c:v>
                </c:pt>
                <c:pt idx="59">
                  <c:v>5040</c:v>
                </c:pt>
                <c:pt idx="60">
                  <c:v>4965</c:v>
                </c:pt>
                <c:pt idx="61">
                  <c:v>4690</c:v>
                </c:pt>
                <c:pt idx="62">
                  <c:v>4535</c:v>
                </c:pt>
                <c:pt idx="63">
                  <c:v>4320</c:v>
                </c:pt>
                <c:pt idx="64">
                  <c:v>4320</c:v>
                </c:pt>
                <c:pt idx="65">
                  <c:v>4190</c:v>
                </c:pt>
                <c:pt idx="66">
                  <c:v>4045</c:v>
                </c:pt>
                <c:pt idx="67">
                  <c:v>3980</c:v>
                </c:pt>
                <c:pt idx="68">
                  <c:v>3760</c:v>
                </c:pt>
                <c:pt idx="69">
                  <c:v>3650</c:v>
                </c:pt>
                <c:pt idx="70">
                  <c:v>3240</c:v>
                </c:pt>
                <c:pt idx="71">
                  <c:v>3230</c:v>
                </c:pt>
                <c:pt idx="72">
                  <c:v>3205</c:v>
                </c:pt>
                <c:pt idx="73">
                  <c:v>3205</c:v>
                </c:pt>
                <c:pt idx="74">
                  <c:v>3150</c:v>
                </c:pt>
                <c:pt idx="75">
                  <c:v>2755</c:v>
                </c:pt>
                <c:pt idx="76">
                  <c:v>2620</c:v>
                </c:pt>
                <c:pt idx="77">
                  <c:v>2580</c:v>
                </c:pt>
                <c:pt idx="78">
                  <c:v>2540</c:v>
                </c:pt>
                <c:pt idx="79">
                  <c:v>2335</c:v>
                </c:pt>
                <c:pt idx="80">
                  <c:v>2040</c:v>
                </c:pt>
                <c:pt idx="81">
                  <c:v>2020</c:v>
                </c:pt>
                <c:pt idx="82">
                  <c:v>1935</c:v>
                </c:pt>
                <c:pt idx="83">
                  <c:v>1860</c:v>
                </c:pt>
                <c:pt idx="84">
                  <c:v>1720</c:v>
                </c:pt>
                <c:pt idx="85">
                  <c:v>1720</c:v>
                </c:pt>
                <c:pt idx="86">
                  <c:v>1700</c:v>
                </c:pt>
                <c:pt idx="87">
                  <c:v>1620</c:v>
                </c:pt>
                <c:pt idx="88">
                  <c:v>1600</c:v>
                </c:pt>
                <c:pt idx="89">
                  <c:v>1540</c:v>
                </c:pt>
                <c:pt idx="90">
                  <c:v>1490</c:v>
                </c:pt>
                <c:pt idx="91">
                  <c:v>1320</c:v>
                </c:pt>
                <c:pt idx="92">
                  <c:v>1140</c:v>
                </c:pt>
                <c:pt idx="93">
                  <c:v>645</c:v>
                </c:pt>
                <c:pt idx="94">
                  <c:v>645</c:v>
                </c:pt>
                <c:pt idx="95">
                  <c:v>640</c:v>
                </c:pt>
                <c:pt idx="96">
                  <c:v>590</c:v>
                </c:pt>
                <c:pt idx="97">
                  <c:v>540</c:v>
                </c:pt>
                <c:pt idx="98">
                  <c:v>480</c:v>
                </c:pt>
                <c:pt idx="99">
                  <c:v>200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7-457A-9A28-68E7DFDA3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967740</xdr:colOff>
      <xdr:row>4</xdr:row>
      <xdr:rowOff>45720</xdr:rowOff>
    </xdr:from>
    <xdr:to>
      <xdr:col>12</xdr:col>
      <xdr:colOff>144780</xdr:colOff>
      <xdr:row>21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F6C79C-3F6E-6123-CCF0-F60AF4B9A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396240</xdr:colOff>
      <xdr:row>5</xdr:row>
      <xdr:rowOff>91440</xdr:rowOff>
    </xdr:from>
    <xdr:to>
      <xdr:col>9</xdr:col>
      <xdr:colOff>571500</xdr:colOff>
      <xdr:row>20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1E407F-4D7F-E198-D16C-4A5DCBDE0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480849</xdr:colOff>
      <xdr:row>3</xdr:row>
      <xdr:rowOff>49136</xdr:rowOff>
    </xdr:from>
    <xdr:to>
      <xdr:col>22</xdr:col>
      <xdr:colOff>237008</xdr:colOff>
      <xdr:row>44</xdr:row>
      <xdr:rowOff>163436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97FC7-ABF5-5E5A-7FDB-2BE1ADE71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190506</xdr:colOff>
      <xdr:row>3</xdr:row>
      <xdr:rowOff>118110</xdr:rowOff>
    </xdr:from>
    <xdr:to>
      <xdr:col>9</xdr:col>
      <xdr:colOff>495306</xdr:colOff>
      <xdr:row>18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D48F76-7524-9187-64F9-7DEA57BF7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2</xdr:row>
      <xdr:rowOff>22860</xdr:rowOff>
    </xdr:from>
    <xdr:to>
      <xdr:col>16</xdr:col>
      <xdr:colOff>464820</xdr:colOff>
      <xdr:row>34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F504B7-E86C-F0A6-118A-8C9507BE1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rutiRanjan Sahoo" refreshedDate="45722.800898611109" createdVersion="8" refreshedVersion="8" minRefreshableVersion="3" recordCount="2371" xr:uid="{BF8D9FDD-30B4-4474-AB79-06A3E0F3A8C9}">
  <cacheSource type="worksheet">
    <worksheetSource ref="A1:I2372" sheet="Raw Data"/>
  </cacheSource>
  <cacheFields count="12">
    <cacheField name="Date" numFmtId="14">
      <sharedItems containsSemiMixedTypes="0" containsNonDate="0" containsDate="1" containsString="0" minDate="2021-04-12T00:00:00" maxDate="2022-04-01T00:00:00" count="181">
        <d v="2021-04-12T00:00:00"/>
        <d v="2021-04-14T00:00:00"/>
        <d v="2021-04-15T00:00:00"/>
        <d v="2021-04-16T00:00:00"/>
        <d v="2021-04-18T00:00:00"/>
        <d v="2021-04-20T00:00:00"/>
        <d v="2021-04-21T00:00:00"/>
        <d v="2021-04-22T00:00:00"/>
        <d v="2021-04-23T00:00:00"/>
        <d v="2021-04-26T00:00:00"/>
        <d v="2021-04-28T00:00:00"/>
        <d v="2021-04-29T00:00:00"/>
        <d v="2021-04-30T00:00:00"/>
        <d v="2021-05-04T00:00:00"/>
        <d v="2021-05-07T00:00:00"/>
        <d v="2021-05-14T00:00:00"/>
        <d v="2021-05-18T00:00:00"/>
        <d v="2021-05-20T00:00:00"/>
        <d v="2021-05-21T00:00:00"/>
        <d v="2021-05-25T00:00:00"/>
        <d v="2021-05-27T00:00:00"/>
        <d v="2021-05-28T00:00:00"/>
        <d v="2021-06-02T00:00:00"/>
        <d v="2021-06-03T00:00:00"/>
        <d v="2021-06-04T00:00:00"/>
        <d v="2021-06-05T00:00:00"/>
        <d v="2021-06-07T00:00:00"/>
        <d v="2021-06-09T00:00:00"/>
        <d v="2021-06-10T00:00:00"/>
        <d v="2021-06-12T00:00:00"/>
        <d v="2021-06-13T00:00:00"/>
        <d v="2021-06-14T00:00:00"/>
        <d v="2021-06-15T00:00:00"/>
        <d v="2021-06-18T00:00:00"/>
        <d v="2021-06-21T00:00:00"/>
        <d v="2021-06-23T00:00:00"/>
        <d v="2021-06-28T00:00:00"/>
        <d v="2021-06-30T00:00:00"/>
        <d v="2021-07-01T00:00:00"/>
        <d v="2021-07-03T00:00:00"/>
        <d v="2021-07-06T00:00:00"/>
        <d v="2021-07-07T00:00:00"/>
        <d v="2021-07-11T00:00:00"/>
        <d v="2021-07-12T00:00:00"/>
        <d v="2021-07-14T00:00:00"/>
        <d v="2021-07-15T00:00:00"/>
        <d v="2021-07-16T00:00:00"/>
        <d v="2021-07-19T00:00:00"/>
        <d v="2021-07-20T00:00:00"/>
        <d v="2021-07-23T00:00:00"/>
        <d v="2021-07-25T00:00:00"/>
        <d v="2021-07-26T00:00:00"/>
        <d v="2021-07-29T00:00:00"/>
        <d v="2021-07-31T00:00:00"/>
        <d v="2021-08-05T00:00:00"/>
        <d v="2021-08-06T00:00:00"/>
        <d v="2021-08-08T00:00:00"/>
        <d v="2021-08-09T00:00:00"/>
        <d v="2021-08-12T00:00:00"/>
        <d v="2021-08-14T00:00:00"/>
        <d v="2021-08-16T00:00:00"/>
        <d v="2021-08-17T00:00:00"/>
        <d v="2021-08-19T00:00:00"/>
        <d v="2021-08-24T00:00:00"/>
        <d v="2021-08-25T00:00:00"/>
        <d v="2021-08-26T00:00:00"/>
        <d v="2021-08-27T00:00:00"/>
        <d v="2021-08-28T00:00:00"/>
        <d v="2021-08-31T00:00:00"/>
        <d v="2021-09-02T00:00:00"/>
        <d v="2021-09-03T00:00:00"/>
        <d v="2021-09-10T00:00:00"/>
        <d v="2021-09-12T00:00:00"/>
        <d v="2021-09-13T00:00:00"/>
        <d v="2021-09-18T00:00:00"/>
        <d v="2021-09-19T00:00:00"/>
        <d v="2021-09-20T00:00:00"/>
        <d v="2021-09-21T00:00:00"/>
        <d v="2021-09-24T00:00:00"/>
        <d v="2021-09-28T00:00:00"/>
        <d v="2021-09-29T00:00:00"/>
        <d v="2021-09-30T00:00:00"/>
        <d v="2021-10-01T00:00:00"/>
        <d v="2021-10-02T00:00:00"/>
        <d v="2021-10-06T00:00:00"/>
        <d v="2021-10-09T00:00:00"/>
        <d v="2021-10-13T00:00:00"/>
        <d v="2021-10-14T00:00:00"/>
        <d v="2021-10-15T00:00:00"/>
        <d v="2021-10-18T00:00:00"/>
        <d v="2021-10-19T00:00:00"/>
        <d v="2021-10-21T00:00:00"/>
        <d v="2021-10-24T00:00:00"/>
        <d v="2021-10-25T00:00:00"/>
        <d v="2021-10-29T00:00:00"/>
        <d v="2021-11-01T00:00:00"/>
        <d v="2021-11-02T00:00:00"/>
        <d v="2021-11-03T00:00:00"/>
        <d v="2021-11-04T00:00:00"/>
        <d v="2021-11-06T00:00:00"/>
        <d v="2021-11-07T00:00:00"/>
        <d v="2021-11-09T00:00:00"/>
        <d v="2021-11-10T00:00:00"/>
        <d v="2021-11-11T00:00:00"/>
        <d v="2021-11-12T00:00:00"/>
        <d v="2021-11-13T00:00:00"/>
        <d v="2021-11-16T00:00:00"/>
        <d v="2021-11-18T00:00:00"/>
        <d v="2021-11-21T00:00:00"/>
        <d v="2021-11-23T00:00:00"/>
        <d v="2021-11-24T00:00:00"/>
        <d v="2021-11-25T00:00:00"/>
        <d v="2021-11-26T00:00:00"/>
        <d v="2021-11-28T00:00:00"/>
        <d v="2021-11-29T00:00:00"/>
        <d v="2021-11-30T00:00:00"/>
        <d v="2021-12-01T00:00:00"/>
        <d v="2021-12-03T00:00:00"/>
        <d v="2021-12-09T00:00:00"/>
        <d v="2021-12-10T00:00:00"/>
        <d v="2021-12-11T00:00:00"/>
        <d v="2021-12-12T00:00:00"/>
        <d v="2021-12-13T00:00:00"/>
        <d v="2021-12-15T00:00:00"/>
        <d v="2021-12-17T00:00:00"/>
        <d v="2021-12-18T00:00:00"/>
        <d v="2021-12-21T00:00:00"/>
        <d v="2021-12-23T00:00:00"/>
        <d v="2021-12-25T00:00:00"/>
        <d v="2021-12-27T00:00:00"/>
        <d v="2021-12-29T00:00:00"/>
        <d v="2022-01-01T00:00:00"/>
        <d v="2022-01-02T00:00:00"/>
        <d v="2022-01-03T00:00:00"/>
        <d v="2022-01-05T00:00:00"/>
        <d v="2022-01-07T00:00:00"/>
        <d v="2022-01-08T00:00:00"/>
        <d v="2022-01-12T00:00:00"/>
        <d v="2022-01-15T00:00:00"/>
        <d v="2022-01-18T00:00:00"/>
        <d v="2022-01-21T00:00:00"/>
        <d v="2022-01-23T00:00:00"/>
        <d v="2022-01-26T00:00:00"/>
        <d v="2022-01-29T00:00:00"/>
        <d v="2022-01-31T00:00:00"/>
        <d v="2022-02-01T00:00:00"/>
        <d v="2022-02-03T00:00:00"/>
        <d v="2022-02-10T00:00:00"/>
        <d v="2022-02-12T00:00:00"/>
        <d v="2022-02-14T00:00:00"/>
        <d v="2022-02-18T00:00:00"/>
        <d v="2022-02-19T00:00:00"/>
        <d v="2022-02-21T00:00:00"/>
        <d v="2022-02-23T00:00:00"/>
        <d v="2022-02-25T00:00:00"/>
        <d v="2022-02-26T00:00:00"/>
        <d v="2022-02-28T00:00:00"/>
        <d v="2022-03-01T00:00:00"/>
        <d v="2022-03-02T00:00:00"/>
        <d v="2022-03-04T00:00:00"/>
        <d v="2022-03-05T00:00:00"/>
        <d v="2022-03-07T00:00:00"/>
        <d v="2022-03-09T00:00:00"/>
        <d v="2022-03-11T00:00:00"/>
        <d v="2022-03-13T00:00:00"/>
        <d v="2022-03-14T00:00:00"/>
        <d v="2022-03-15T00:00:00"/>
        <d v="2022-03-16T00:00:00"/>
        <d v="2022-03-17T00:00:00"/>
        <d v="2022-03-18T00:00:00"/>
        <d v="2022-03-20T00:00:00"/>
        <d v="2022-03-21T00:00:00"/>
        <d v="2022-03-22T00:00:00"/>
        <d v="2022-03-23T00:00:00"/>
        <d v="2022-03-25T00:00:00"/>
        <d v="2022-03-26T00:00:00"/>
        <d v="2022-03-27T00:00:00"/>
        <d v="2022-03-28T00:00:00"/>
        <d v="2022-03-29T00:00:00"/>
        <d v="2022-03-30T00:00:00"/>
        <d v="2022-03-31T00:00:00"/>
      </sharedItems>
      <fieldGroup par="11"/>
    </cacheField>
    <cacheField name="Customer" numFmtId="0">
      <sharedItems count="64">
        <s v="Gagan Store"/>
        <s v="RAMESH BAJAJ"/>
        <s v="SUBASH MITTLE"/>
        <s v="Ashok Sahu"/>
        <s v="Marketing"/>
        <s v="Sonu Bala"/>
        <s v="Round Off"/>
        <s v="Gopal Sahu"/>
        <s v="Discount"/>
        <s v="Lachu Hotel"/>
        <s v="Pabatra Store"/>
        <s v="Tripathi Pam Bhandar"/>
        <s v="Raj Kumar Bajaj"/>
        <s v="Arbind Sahu"/>
        <s v="SAJAN AGARWAL MAIN ROAD"/>
        <s v="Cash"/>
        <s v="Anand Sonu"/>
        <s v="Anand Matu"/>
        <s v="Ganesh Naik"/>
        <s v="New Bustand"/>
        <s v="Dash Coll"/>
        <s v="Bus Stand"/>
        <s v="Millan"/>
        <s v="Prasad Store"/>
        <s v="Babu"/>
        <s v="Joshi Puja Bhandar"/>
        <s v="Chinu"/>
        <s v="SHORT &amp;EXCESS"/>
        <s v="Darli Store"/>
        <s v="Jagadamba Store"/>
        <s v="Osr Hotel"/>
        <s v="Maa Tarani Puja Bhandar"/>
        <s v="Ella General Store"/>
        <s v="Kara Puja Bhandar"/>
        <s v="Mangal Store"/>
        <s v="Sagar"/>
        <s v="11cafe"/>
        <s v="Bad Gaw"/>
        <s v="Swai Stor"/>
        <s v="Sai Puja Dukan"/>
        <s v="Trinath Pan Bhandar"/>
        <s v="Laxmi Store"/>
        <s v="Sudash Kumar Sahu"/>
        <s v="M&amp;N Rother Darli Pali"/>
        <s v="Milk Moon"/>
        <s v="Jatin Satpathi"/>
        <s v="Sri Mangal Store"/>
        <s v="Sahu Hospital Front"/>
        <s v="Jai Samana Milk"/>
        <s v="Metha Dukan"/>
        <s v="Ajit Store"/>
        <s v="UMESH TIBREWAL"/>
        <s v="Uttakal Store"/>
        <s v="STOCK SHORT &amp;EXCESS"/>
        <s v="Azad Store Hospital Road"/>
        <s v="Bijay Sahu"/>
        <s v="Rajan Khanda Kramdehi"/>
        <s v="Tina"/>
        <s v="Ashok Frot Shop"/>
        <s v="Deepak Jarangoli"/>
        <s v="PATTNAIK STORE LEPHARI PADA"/>
        <s v="Manoj Frot Shop"/>
        <s v="Jai Bajrang  Store"/>
        <s v="Sunil Store Ujal Pur"/>
      </sharedItems>
    </cacheField>
    <cacheField name="Particulars" numFmtId="0">
      <sharedItems containsBlank="1" count="109">
        <s v="7up 600ml Rs30"/>
        <s v="Pepsi 600ml Rs30"/>
        <s v="Mountain Dew 600ml Rs 30"/>
        <s v="Mirinda 600ml Rs30"/>
        <s v="AQUAFINA 1L PET 15 RS20"/>
        <m/>
        <s v="SWAGAT 1LT"/>
        <s v="Appy Fee Rs 10x40"/>
        <s v="STING 250ML PET24RS20"/>
        <s v="B FIZZE RS10"/>
        <s v="7UP 300MLPET30RS20"/>
        <s v="sting 11 7up 2 return"/>
        <s v="Agst Ref"/>
        <s v="MIRINDA OR 2.25L RS90"/>
        <s v="MILK COFFEE 200ML 24RS30"/>
        <s v="TROP PR MIX FRUIT 200ml"/>
        <s v="MOUNTAIN DEW 2.25L PT 9RS90"/>
        <s v="7UP2.25L PET 9RS 90"/>
        <s v="PEPSI 2.25L PET9 RS90 PROMO"/>
        <s v="PEPSI BLACK CAN"/>
        <s v="SLICE 250MLPET30 RS20"/>
        <s v="FROTI RS35X600ML"/>
        <s v="FROTI RS 20X300ML"/>
        <s v="FROTI RS98X2000ML"/>
        <s v="AP FE 250MLRS 15"/>
        <s v="FROTIRS 64X12ML"/>
        <s v="7UP1.25L PET12RS60"/>
        <s v="PEPSI 1.25PET12RS60PROMO"/>
        <s v="MOUNTAIN DEW1.25L PET12RS60"/>
        <s v="MIRINDA OR 1.25PET 12RS60"/>
        <s v="MOUNTAIN DEW300MLPET 30RS20"/>
        <s v="7up200mlRGP24 RX12"/>
        <s v="SLICE 200ML RGP24RS12"/>
        <s v="PEPSI CO 200ML RGP24RS12"/>
        <s v="MIRINDA OR 200ML RGP24RS12"/>
        <s v="MOUNTAIN DEW 200ML RGP24RS12"/>
        <s v="Aquafina 500ml Rs 10"/>
        <s v="MIRINDA OR 300ML PET30RS20"/>
        <s v="Trop Litchi 500ml Rs 40"/>
        <s v="Froti Rs 10"/>
        <s v="AP FEE 160ML RS10"/>
        <s v="MILK MANGO 200ML PET24 RS30"/>
        <s v="MOUNTAIN DEW 750ML PET 24RS38NEON"/>
        <s v="Ac Pt Rs10"/>
        <s v="T192 Kismi Toffee Rs.50x40pu"/>
        <s v="C174 KACCHA MANGO PU 20P"/>
        <s v="C326 K A J Rs150"/>
        <s v="C308 Assort Mazelo 24p Rs50"/>
        <s v="Empt Carate"/>
        <s v="Tata Gulco Lemon"/>
        <s v="Froti Df Can"/>
        <s v="MILK CHOCOLATE 200ML24RS30"/>
        <s v="BG395 TOP RS20"/>
        <s v="SWAGAT 500ML"/>
        <s v="K Hot Lime Pickel 300g"/>
        <s v="Hand Santizer 500ml"/>
        <s v="Froti Pet Rs10"/>
        <s v="B Fize 250ml Rs15"/>
        <s v="Jaljeera"/>
        <s v="Lichi Pran"/>
        <s v="FROTI RS 5X65ML"/>
        <s v="Bg417 Magix Or Rs10"/>
        <s v="Gobardhan Ghee 500mlx36"/>
        <s v="Sprite 2.25"/>
        <s v="7UP750ML PET24RS38"/>
        <s v="M Brize Rs10x20"/>
        <s v="Gobardhan Ghee 5kgx4"/>
        <s v="Swagat Ghee Tin"/>
        <s v="Gobardhan Ghee 1ltrx18"/>
        <s v="Gobardhan Ghee 100mlx100"/>
        <s v="rajan karamdehi"/>
        <s v="Mountain Dew Ice 250 Ml"/>
        <s v="On Account"/>
        <s v="PEPSI 300ML PET30RS20PROMO"/>
        <s v="MOUNTEN DEW CAN"/>
        <s v="Mountain Dew Ice 600 Ml"/>
        <s v="PEPSI CANE"/>
        <s v="Trop Guava 500ml Rs40"/>
        <s v="Gobardhan Ghee 200mlx"/>
        <s v="Trop Pr Pomegranate 500ml Rs40"/>
        <s v="Smoodh"/>
        <s v="Smood Tofi"/>
        <s v="APP FIZE 600MLRS"/>
        <s v="C332 LON DERRY J RS150"/>
        <s v="C337 ORANGE BITEJ RS150"/>
        <s v="G GHEE 1000ML RT X10P MRP499"/>
        <s v="G GHEE 500ML RT X20 MRP255"/>
        <s v="FROTI 200ML RS15"/>
        <s v="carate balance"/>
        <s v="M Bize Jar"/>
        <s v="7UP 250ML CAN"/>
        <s v="Bonzo"/>
        <s v="B Fize 600ml Rs33"/>
        <s v="AP FEE1000MLRS55"/>
        <s v="SWAGAT 200ML"/>
        <s v="Smodh Cofi"/>
        <s v="C331 Mango Bite 800 2jar"/>
        <s v="C339 Orange Bite 800 2j"/>
        <s v="FROTI GP"/>
        <s v="ACTP 200ML MRP15"/>
        <s v="TROP MIX FRUT 1LT.."/>
        <s v="TROP ORANGE 1L"/>
        <s v="pattnaik store laphari pada"/>
        <s v="pattnaik laphari pada"/>
        <s v="TADKA CHAACH"/>
        <s v="Pepsi750ml"/>
        <s v="C194 POPPINS RS5"/>
        <s v="SLICE 1.2L PET 12RS65"/>
        <s v="MIRINDA OR CAN"/>
      </sharedItems>
    </cacheField>
    <cacheField name="Quantity" numFmtId="0">
      <sharedItems containsBlank="1" containsMixedTypes="1" containsNumber="1" containsInteger="1" minValue="68" maxValue="598" count="85">
        <s v="4 pc"/>
        <m/>
        <s v="12 pc"/>
        <s v="10 pc"/>
        <s v="20 pc"/>
        <s v="9 pc"/>
        <s v="-2 pc"/>
        <n v="68"/>
        <s v="1 pc"/>
        <s v="3 pc"/>
        <s v="2 pc"/>
        <s v="6 pc"/>
        <s v="5 pc"/>
        <s v="55 pc"/>
        <s v="15 pc"/>
        <s v="27 pc"/>
        <s v="30 pc"/>
        <s v="40 pc"/>
        <s v="24 pc"/>
        <n v="88"/>
        <s v="50 pc"/>
        <s v="45 pc"/>
        <s v="1 box"/>
        <s v="42 pc"/>
        <s v="100 pc"/>
        <n v="103"/>
        <s v="30 box"/>
        <s v="35 pc"/>
        <s v="5 box"/>
        <n v="117"/>
        <s v="40 box"/>
        <s v="13 pc"/>
        <s v="150 box"/>
        <s v="7 pc"/>
        <n v="119"/>
        <s v="2 box"/>
        <n v="133"/>
        <s v="11 pc"/>
        <s v="20 box"/>
        <s v="25 pc"/>
        <s v="50 box"/>
        <n v="162"/>
        <s v="3 box"/>
        <s v="10 box"/>
        <s v="9 box"/>
        <s v="8 pc"/>
        <s v="36 pc"/>
        <s v="18 pc"/>
        <s v="60 box"/>
        <s v="25 box"/>
        <s v="70 box"/>
        <s v="60 pc"/>
        <s v="15 box"/>
        <s v="12 box"/>
        <s v="80 box"/>
        <s v="14 pc"/>
        <s v="80 pc"/>
        <n v="287"/>
        <n v="297"/>
        <s v="16 pc"/>
        <s v="290 pc"/>
        <s v="39 pc"/>
        <s v="4 box"/>
        <n v="350"/>
        <n v="388"/>
        <n v="417"/>
        <n v="455"/>
        <s v="-6 pc"/>
        <s v="-7 pc"/>
        <s v="26 pc"/>
        <n v="491"/>
        <s v="23 pc"/>
        <s v="21 pc"/>
        <s v="200 pc"/>
        <n v="597"/>
        <n v="598"/>
        <s v="45 box"/>
        <s v="6 box"/>
        <s v="19 box"/>
        <s v="98 pc"/>
        <s v="7 box"/>
        <s v="35 box"/>
        <s v="200 box"/>
        <s v="140 box"/>
        <s v="17 pc"/>
      </sharedItems>
    </cacheField>
    <cacheField name="Price Per Case" numFmtId="0">
      <sharedItems containsBlank="1" count="177">
        <s v="640.00/pc"/>
        <s v="180.00/pc"/>
        <m/>
        <s v="420.00/pc"/>
        <s v="345.00/pc"/>
        <s v="525.00/pc"/>
        <s v="335.00/pc"/>
        <s v="15 Days"/>
        <s v="750.00/pc"/>
        <s v="645.00/pc"/>
        <s v="430.00/pc"/>
        <s v="550.00/pc"/>
        <s v="540.00/pc"/>
        <s v="740.00/pc"/>
        <s v="500.00/pc"/>
        <s v="480.00/pc"/>
        <s v="390.00/pc"/>
        <s v="630.00/pc"/>
        <s v="342.00/pc"/>
        <s v="680.00/pc"/>
        <s v="560.00/pc"/>
        <s v="216.00/pc"/>
        <s v="250.00/pc"/>
        <s v="650.00/pc"/>
        <s v="185.00/pc"/>
        <s v="880.00/pc"/>
        <s v="330.00/pc"/>
        <s v="325.00/pc"/>
        <s v="800.00/pc"/>
        <s v="490.00/pc"/>
        <s v="535.00/pc"/>
        <s v="780.00/pc"/>
        <s v="520.00/pc"/>
        <s v="334.00/pc"/>
        <s v="340.00/pc"/>
        <s v="42.50/pc"/>
        <s v="127.50/pc"/>
        <s v="300.00/pc"/>
        <s v="200.00/box"/>
        <s v="350.00/pc"/>
        <s v="332.00/pc"/>
        <s v="328.00/pc"/>
        <s v="485.00/pc"/>
        <s v="190.00/box"/>
        <s v="195.00/box"/>
        <s v="220.00/pc"/>
        <s v="400.00/pc"/>
        <s v="188.00/box"/>
        <s v="50.00/pc"/>
        <s v="170.00/pc"/>
        <s v="175.00/pc"/>
        <s v="215.00/pc"/>
        <s v="510.00/pc"/>
        <s v="265.00/pc"/>
        <s v="522.00/pc"/>
        <s v="126.25/pc"/>
        <s v="565.00/pc"/>
        <s v="210.00/pc"/>
        <s v="333.33/pc"/>
        <s v="278.00/pc"/>
        <s v="166.67/pc"/>
        <s v="765.00/pc"/>
        <s v="615.00/pc"/>
        <s v="192.00/box"/>
        <s v="160.00/pc"/>
        <s v="545.00/pc"/>
        <s v="790.00/pc"/>
        <s v="348.00/pc"/>
        <s v="320.00/pc"/>
        <s v="675.00/pc"/>
        <s v="395.00/pc"/>
        <s v="2500.00/pc"/>
        <s v="277.50/pc"/>
        <s v="380.00/pc"/>
        <s v="274.50/pc"/>
        <s v="280.00/pc"/>
        <s v="78.00/pc"/>
        <s v="546.67/pc"/>
        <s v="278.33/pc"/>
        <s v="77.50/pc"/>
        <s v="530.00/pc"/>
        <s v="690.00/pc"/>
        <s v="235.00/pc"/>
        <s v="545.06/pc"/>
        <s v="277.78/pc"/>
        <s v="323.00/pc"/>
        <s v="580.00/pc"/>
        <s v="860.00/pc"/>
        <s v="245.00/pc"/>
        <s v="215.38/pc"/>
        <s v="200.00/pc"/>
        <s v="240.00/pc"/>
        <s v="117.38/pc"/>
        <s v="347.50/pc"/>
        <s v="190.00/pc"/>
        <s v="195.00/pc"/>
        <s v="238.00/pc"/>
        <s v="548.00/pc"/>
        <s v="738.00/pc"/>
        <s v="117.70/pc"/>
        <s v="546.40/pc"/>
        <s v="278.30/pc"/>
        <s v="120.00/pc"/>
        <s v="41.67/pc"/>
        <s v="42.00/pc"/>
        <s v="2610.00/pc"/>
        <s v="117.50/pc"/>
        <s v="546.50/pc"/>
        <s v="117.75/pc"/>
        <s v="278.25/pc"/>
        <s v="117.60/pc"/>
        <s v="116.30/pc"/>
        <s v="747.00/pc"/>
        <s v="720.00/pc"/>
        <s v="931.00/pc"/>
        <s v="570.00/pc"/>
        <s v="600.00/pc"/>
        <s v="150.00/pc"/>
        <s v="415.00/pc"/>
        <s v="230.00/pc"/>
        <s v="117.00/pc"/>
        <s v="116.67/pc"/>
        <s v="2640.00/pc"/>
        <s v="546.00/pc"/>
        <s v="550.83/pc"/>
        <s v="278.06/pc"/>
        <s v="118.67/pc"/>
        <s v="524.00/pc"/>
        <s v="700.00/pc"/>
        <s v="515.00/pc"/>
        <s v="118.00/pc"/>
        <s v="648.00/pc"/>
        <s v="590.00/pc"/>
        <s v="620.00/pc"/>
        <s v="595.00/pc"/>
        <s v="685.71/pc"/>
        <s v="255.00/pc"/>
        <s v="102.00/pc"/>
        <s v="653.33/pc"/>
        <s v="660.00/pc"/>
        <s v="212.50/pc"/>
        <s v="260.00/pc"/>
        <s v="432.00/pc"/>
        <s v="185.00/box"/>
        <s v="410.00/pc"/>
        <s v="117.40/pc"/>
        <s v="277.00/pc"/>
        <s v="117.30/pc"/>
        <s v="95.00/pc"/>
        <s v="470.00/pc"/>
        <s v="405.00/pc"/>
        <s v="170.00/box"/>
        <s v="315.00/pc"/>
        <s v="533.33/pc"/>
        <s v="140.00/pc"/>
        <s v="865.00/pc"/>
        <s v="100.00/pc"/>
        <s v="785.00/pc"/>
        <s v="760.00/pc"/>
        <s v="310.00/pc"/>
        <s v="90.00/pc"/>
        <s v="845.00/pc"/>
        <s v="425.00/pc"/>
        <s v="685.00/pc"/>
        <s v="596.00/pc"/>
        <s v="160.00/box"/>
        <s v="607.50/pc"/>
        <s v="543.33/pc"/>
        <s v="547.00/pc"/>
        <s v="870.00/pc"/>
        <s v="710.00/pc"/>
        <s v="855.00/pc"/>
        <s v="183.00/box"/>
        <s v="492.86/pc"/>
        <s v="324.29/pc"/>
        <s v="185.29/pc"/>
        <s v="830.00/pc"/>
      </sharedItems>
    </cacheField>
    <cacheField name="Total As Per Case" numFmtId="0">
      <sharedItems containsString="0" containsBlank="1" containsNumber="1" minValue="-2100" maxValue="151960"/>
    </cacheField>
    <cacheField name="Total Amount" numFmtId="0">
      <sharedItems containsString="0" containsBlank="1" containsNumber="1" minValue="-3172" maxValue="177260" count="462">
        <m/>
        <n v="10960"/>
        <n v="5040"/>
        <n v="3450"/>
        <n v="10500"/>
        <n v="7505"/>
        <n v="750"/>
        <n v="4935"/>
        <n v="5405"/>
        <n v="6000"/>
        <n v="11340"/>
        <n v="-2"/>
        <n v="17270"/>
        <n v="38464"/>
        <n v="-1956"/>
        <n v="4995"/>
        <n v="12230"/>
        <n v="9900"/>
        <n v="10700"/>
        <n v="14290"/>
        <n v="3300"/>
        <n v="20200"/>
        <n v="19920"/>
        <n v="3290"/>
        <n v="20040"/>
        <n v="14250"/>
        <n v="9660"/>
        <n v="3990"/>
        <n v="16500"/>
        <n v="21750"/>
        <n v="885"/>
        <n v="15240"/>
        <n v="4105"/>
        <n v="3850"/>
        <n v="925"/>
        <n v="10090"/>
        <n v="37900"/>
        <n v="13470"/>
        <n v="1080"/>
        <n v="680"/>
        <n v="1695"/>
        <n v="17820"/>
        <n v="6770"/>
        <n v="9624"/>
        <n v="15685"/>
        <n v="5130"/>
        <n v="4950"/>
        <n v="5150"/>
        <n v="5700"/>
        <n v="1700"/>
        <n v="-255"/>
        <n v="185"/>
        <n v="13345"/>
        <n v="1320"/>
        <n v="10050"/>
        <n v="950"/>
        <n v="16600"/>
        <n v="22845"/>
        <n v="67662"/>
        <n v="1190"/>
        <n v="3215"/>
        <n v="15265"/>
        <n v="700"/>
        <n v="735"/>
        <n v="14950"/>
        <n v="26220"/>
        <n v="1610"/>
        <n v="12200"/>
        <n v="740"/>
        <n v="3630"/>
        <n v="1690"/>
        <n v="11850"/>
        <n v="3420"/>
        <n v="4810"/>
        <n v="1650"/>
        <n v="15740"/>
        <n v="690"/>
        <n v="21317"/>
        <n v="850"/>
        <n v="14100"/>
        <n v="20250"/>
        <n v="12800"/>
        <n v="1000"/>
        <n v="21450"/>
        <n v="2780"/>
        <n v="11250"/>
        <n v="2120"/>
        <n v="3800"/>
        <n v="6010"/>
        <n v="1980"/>
        <n v="6750"/>
        <n v="6600"/>
        <n v="14560"/>
        <n v="1725"/>
        <n v="3390"/>
        <n v="-655"/>
        <n v="5265"/>
        <n v="790"/>
        <n v="26265"/>
        <n v="-85"/>
        <n v="12900"/>
        <n v="2970"/>
        <n v="12881"/>
        <n v="7675"/>
        <n v="2228"/>
        <n v="4480"/>
        <n v="2500"/>
        <n v="7600"/>
        <n v="27230"/>
        <n v="9500"/>
        <n v="9882"/>
        <n v="33000"/>
        <n v="4360"/>
        <n v="26250"/>
        <n v="28844"/>
        <n v="8280"/>
        <n v="2810"/>
        <n v="3280"/>
        <n v="2445"/>
        <n v="2750"/>
        <n v="-30"/>
        <n v="5370"/>
        <n v="21955"/>
        <n v="-300"/>
        <n v="15450"/>
        <n v="1960"/>
        <n v="7071"/>
        <n v="2600"/>
        <n v="14200"/>
        <n v="2490"/>
        <n v="30130"/>
        <n v="-1"/>
        <n v="2625"/>
        <n v="3470"/>
        <n v="1035"/>
        <n v="38940"/>
        <n v="-410"/>
        <n v="3030"/>
        <n v="6275"/>
        <n v="14800"/>
        <n v="3230"/>
        <n v="16400"/>
        <n v="3140"/>
        <n v="-4"/>
        <n v="2410"/>
        <n v="1860"/>
        <n v="3000"/>
        <n v="-3"/>
        <n v="29974"/>
        <n v="2800"/>
        <n v="2700"/>
        <n v="4000"/>
        <n v="350"/>
        <n v="5100"/>
        <n v="13200"/>
        <n v="23400"/>
        <n v="26843"/>
        <n v="4830"/>
        <n v="2850"/>
        <n v="1950"/>
        <n v="12895"/>
        <n v="1932"/>
        <n v="5050"/>
        <n v="940"/>
        <n v="10353"/>
        <n v="-360"/>
        <n v="2280"/>
        <n v="6180"/>
        <n v="9360"/>
        <n v="6960"/>
        <n v="2847"/>
        <n v="7860"/>
        <n v="-9"/>
        <n v="9093"/>
        <n v="5200"/>
        <n v="3660"/>
        <n v="5767"/>
        <n v="4450"/>
        <n v="42565"/>
        <n v="5320"/>
        <n v="13360"/>
        <n v="9720"/>
        <n v="8825"/>
        <n v="5175"/>
        <n v="10440"/>
        <n v="4455"/>
        <n v="10603"/>
        <n v="2794"/>
        <n v="5450"/>
        <n v="-65"/>
        <n v="7062"/>
        <n v="5535"/>
        <n v="53800"/>
        <n v="1240"/>
        <n v="4412"/>
        <n v="3172"/>
        <n v="2626"/>
        <n v="30126"/>
        <n v="-3172"/>
        <n v="8300"/>
        <n v="1500"/>
        <n v="330"/>
        <n v="9100"/>
        <n v="1900"/>
        <n v="15140"/>
        <n v="31575"/>
        <n v="9860"/>
        <n v="6210"/>
        <n v="12300"/>
        <n v="17940"/>
        <n v="3423"/>
        <n v="4530"/>
        <n v="7440"/>
        <n v="10580"/>
        <n v="2000"/>
        <n v="18720"/>
        <n v="27045"/>
        <n v="7840"/>
        <n v="6270"/>
        <n v="1360"/>
        <n v="177260"/>
        <n v="-700"/>
        <n v="5400"/>
        <n v="19235"/>
        <n v="9690"/>
        <n v="2178"/>
        <n v="5250"/>
        <n v="18315"/>
        <n v="3980"/>
        <n v="15390"/>
        <n v="3270"/>
        <n v="1380"/>
        <n v="10140"/>
        <n v="4686"/>
        <n v="1635"/>
        <n v="5220"/>
        <n v="2260"/>
        <n v="640"/>
        <n v="3920"/>
        <n v="26850"/>
        <n v="17735"/>
        <n v="5360"/>
        <n v="9180"/>
        <n v="1680"/>
        <n v="6700"/>
        <n v="7050"/>
        <n v="7100"/>
        <n v="3090"/>
        <n v="11550"/>
        <n v="8650"/>
        <n v="4550"/>
        <n v="5862"/>
        <n v="4980"/>
        <n v="840"/>
        <n v="25815"/>
        <n v="25125"/>
        <n v="7570"/>
        <n v="8850"/>
        <n v="2950"/>
        <n v="31400"/>
        <n v="12750"/>
        <n v="9040"/>
        <n v="-325"/>
        <n v="600"/>
        <n v="2760"/>
        <n v="4130"/>
        <n v="26000"/>
        <n v="22605"/>
        <n v="1800"/>
        <n v="4620"/>
        <n v="10800"/>
        <n v="3860"/>
        <n v="10920"/>
        <n v="2360"/>
        <n v="970"/>
        <n v="1180"/>
        <n v="1530"/>
        <n v="-5"/>
        <n v="8260"/>
        <n v="2400"/>
        <n v="13000"/>
        <n v="4140"/>
        <n v="3885"/>
        <n v="2775"/>
        <n v="9864"/>
        <n v="23395"/>
        <n v="1280"/>
        <n v="8210"/>
        <n v="1545"/>
        <n v="1668"/>
        <n v="14750"/>
        <n v="7200"/>
        <n v="10146"/>
        <n v="25200"/>
        <n v="19690"/>
        <n v="3540"/>
        <n v="4720"/>
        <n v="5310"/>
        <n v="4800"/>
        <n v="2720"/>
        <n v="7920"/>
        <n v="7205"/>
        <n v="5520"/>
        <n v="14400"/>
        <n v="5230"/>
        <n v="590"/>
        <n v="5900"/>
        <n v="1770"/>
        <n v="6490"/>
        <n v="23890"/>
        <n v="6660"/>
        <n v="5460"/>
        <n v="17700"/>
        <n v="1910"/>
        <n v="7080"/>
        <n v="22105"/>
        <n v="6120"/>
        <n v="11210"/>
        <n v="9440"/>
        <n v="3288"/>
        <n v="27944.97"/>
        <n v="400"/>
        <n v="7866"/>
        <n v="29480"/>
        <n v="11020"/>
        <n v="25720"/>
        <n v="4690"/>
        <n v="15340"/>
        <n v="4680"/>
        <n v="11800"/>
        <n v="7670"/>
        <n v="13570"/>
        <n v="26655"/>
        <n v="3500"/>
        <n v="1697"/>
        <n v="3600"/>
        <n v="5928"/>
        <n v="11280"/>
        <n v="10725"/>
        <n v="3438"/>
        <n v="13370"/>
        <n v="6050"/>
        <n v="2440"/>
        <n v="1460"/>
        <n v="16245"/>
        <n v="2725"/>
        <n v="4825"/>
        <n v="7250"/>
        <n v="23355"/>
        <n v="900"/>
        <n v="23268"/>
        <n v="8000"/>
        <n v="5730"/>
        <n v="19645"/>
        <n v="12600"/>
        <n v="11950"/>
        <n v="10650"/>
        <n v="1400"/>
        <n v="7960"/>
        <n v="780"/>
        <n v="6400"/>
        <n v="12390"/>
        <n v="24570"/>
        <n v="31650"/>
        <n v="1600"/>
        <n v="3150"/>
        <n v="2140"/>
        <n v="6040"/>
        <n v="9530"/>
        <n v="1575"/>
        <n v="63000"/>
        <n v="31500"/>
        <n v="16000"/>
        <n v="10480"/>
        <n v="3200"/>
        <n v="38420"/>
        <n v="8450"/>
        <n v="8400"/>
        <n v="3360"/>
        <n v="8455"/>
        <n v="15750"/>
        <n v="855"/>
        <n v="5340"/>
        <n v="18150"/>
        <n v="23455"/>
        <n v="10945"/>
        <n v="-1056"/>
        <n v="16840"/>
        <n v="44240"/>
        <n v="28210"/>
        <n v="3830"/>
        <n v="10735"/>
        <n v="10940"/>
        <n v="32010"/>
        <n v="11960"/>
        <n v="-1535"/>
        <n v="8750"/>
        <n v="9255"/>
        <n v="4910"/>
        <n v="32000"/>
        <n v="3340"/>
        <n v="22775"/>
        <n v="20275"/>
        <n v="22235"/>
        <n v="5795"/>
        <n v="12360"/>
        <n v="9600"/>
        <n v="2180"/>
        <n v="12190"/>
        <n v="2670"/>
        <n v="1290"/>
        <n v="18222"/>
        <n v="10378"/>
        <n v="-168"/>
        <n v="-54"/>
        <n v="9550"/>
        <n v="-80"/>
        <n v="2450"/>
        <n v="27995"/>
        <n v="16715"/>
        <n v="1140"/>
        <n v="9830"/>
        <n v="31360"/>
        <n v="200"/>
        <n v="11200"/>
        <n v="-10"/>
        <n v="2055"/>
        <n v="21400"/>
        <n v="9725"/>
        <n v="9250"/>
        <n v="830"/>
        <n v="40715"/>
        <n v="51380"/>
        <n v="19405"/>
        <n v="31350"/>
        <n v="7236"/>
        <n v="32500"/>
        <n v="5650"/>
        <n v="2550"/>
        <n v="-50"/>
        <n v="3900"/>
        <n v="1765"/>
        <n v="1830"/>
        <n v="24630"/>
        <n v="2650"/>
        <n v="42600"/>
        <n v="9950"/>
        <n v="17500"/>
        <n v="36600"/>
        <n v="25900"/>
        <n v="3005"/>
        <n v="-140"/>
        <n v="9540"/>
        <n v="14040"/>
        <n v="8920"/>
        <n v="8100"/>
        <n v="37000"/>
        <n v="30840"/>
        <n v="36040"/>
        <n v="12160"/>
        <n v="11330"/>
        <n v="9290"/>
      </sharedItems>
    </cacheField>
    <cacheField name="Month" numFmtId="0">
      <sharedItems containsSemiMixedTypes="0" containsString="0" containsNumber="1" containsInteger="1" minValue="1" maxValue="12" count="12">
        <n v="4"/>
        <n v="5"/>
        <n v="6"/>
        <n v="7"/>
        <n v="8"/>
        <n v="9"/>
        <n v="10"/>
        <n v="11"/>
        <n v="12"/>
        <n v="1"/>
        <n v="2"/>
        <n v="3"/>
      </sharedItems>
    </cacheField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Months (Date)" numFmtId="0" databaseField="0">
      <fieldGroup base="0">
        <rangePr autoStart="0" autoEnd="0" groupBy="months" startDate="2021-04-01T00:00:00" endDate="2022-04-01T00:00:00"/>
        <groupItems count="14">
          <s v="&lt;01-04-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2"/>
        </groupItems>
      </fieldGroup>
    </cacheField>
    <cacheField name="Quarters (Date)" numFmtId="0" databaseField="0">
      <fieldGroup base="0">
        <rangePr autoStart="0" autoEnd="0" groupBy="quarters" startDate="2021-04-01T00:00:00" endDate="2022-04-01T00:00:00"/>
        <groupItems count="6">
          <s v="&lt;01-04-2021"/>
          <s v="Qtr1"/>
          <s v="Qtr2"/>
          <s v="Qtr3"/>
          <s v="Qtr4"/>
          <s v="&gt;01-04-2022"/>
        </groupItems>
      </fieldGroup>
    </cacheField>
    <cacheField name="Years (Date)" numFmtId="0" databaseField="0">
      <fieldGroup base="0">
        <rangePr autoStart="0" autoEnd="0" groupBy="years" startDate="2021-04-01T00:00:00" endDate="2022-04-01T00:00:00"/>
        <groupItems count="4">
          <s v="&lt;01-04-2021"/>
          <s v="2021"/>
          <s v="2022"/>
          <s v="&gt;01-04-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1">
  <r>
    <x v="0"/>
    <x v="0"/>
    <x v="0"/>
    <x v="0"/>
    <x v="0"/>
    <n v="2560"/>
    <x v="0"/>
    <x v="0"/>
    <x v="0"/>
  </r>
  <r>
    <x v="0"/>
    <x v="0"/>
    <x v="1"/>
    <x v="0"/>
    <x v="0"/>
    <n v="2560"/>
    <x v="0"/>
    <x v="0"/>
    <x v="0"/>
  </r>
  <r>
    <x v="0"/>
    <x v="0"/>
    <x v="2"/>
    <x v="0"/>
    <x v="0"/>
    <n v="2560"/>
    <x v="0"/>
    <x v="0"/>
    <x v="0"/>
  </r>
  <r>
    <x v="0"/>
    <x v="0"/>
    <x v="3"/>
    <x v="0"/>
    <x v="0"/>
    <n v="2560"/>
    <x v="0"/>
    <x v="0"/>
    <x v="0"/>
  </r>
  <r>
    <x v="0"/>
    <x v="0"/>
    <x v="4"/>
    <x v="0"/>
    <x v="1"/>
    <n v="720"/>
    <x v="1"/>
    <x v="0"/>
    <x v="0"/>
  </r>
  <r>
    <x v="0"/>
    <x v="0"/>
    <x v="5"/>
    <x v="1"/>
    <x v="2"/>
    <m/>
    <x v="2"/>
    <x v="0"/>
    <x v="0"/>
  </r>
  <r>
    <x v="0"/>
    <x v="0"/>
    <x v="6"/>
    <x v="2"/>
    <x v="3"/>
    <n v="5040"/>
    <x v="0"/>
    <x v="0"/>
    <x v="0"/>
  </r>
  <r>
    <x v="0"/>
    <x v="1"/>
    <x v="5"/>
    <x v="1"/>
    <x v="2"/>
    <m/>
    <x v="3"/>
    <x v="0"/>
    <x v="0"/>
  </r>
  <r>
    <x v="0"/>
    <x v="1"/>
    <x v="7"/>
    <x v="3"/>
    <x v="4"/>
    <n v="3450"/>
    <x v="0"/>
    <x v="0"/>
    <x v="0"/>
  </r>
  <r>
    <x v="0"/>
    <x v="2"/>
    <x v="5"/>
    <x v="1"/>
    <x v="2"/>
    <m/>
    <x v="4"/>
    <x v="0"/>
    <x v="0"/>
  </r>
  <r>
    <x v="0"/>
    <x v="2"/>
    <x v="8"/>
    <x v="4"/>
    <x v="5"/>
    <n v="10500"/>
    <x v="0"/>
    <x v="0"/>
    <x v="0"/>
  </r>
  <r>
    <x v="0"/>
    <x v="1"/>
    <x v="5"/>
    <x v="1"/>
    <x v="2"/>
    <m/>
    <x v="5"/>
    <x v="0"/>
    <x v="0"/>
  </r>
  <r>
    <x v="0"/>
    <x v="1"/>
    <x v="8"/>
    <x v="5"/>
    <x v="5"/>
    <n v="4725"/>
    <x v="0"/>
    <x v="0"/>
    <x v="0"/>
  </r>
  <r>
    <x v="0"/>
    <x v="1"/>
    <x v="9"/>
    <x v="3"/>
    <x v="4"/>
    <n v="3450"/>
    <x v="0"/>
    <x v="0"/>
    <x v="0"/>
  </r>
  <r>
    <x v="0"/>
    <x v="1"/>
    <x v="10"/>
    <x v="6"/>
    <x v="6"/>
    <n v="-670"/>
    <x v="0"/>
    <x v="0"/>
    <x v="0"/>
  </r>
  <r>
    <x v="0"/>
    <x v="1"/>
    <x v="11"/>
    <x v="1"/>
    <x v="2"/>
    <m/>
    <x v="0"/>
    <x v="0"/>
    <x v="0"/>
  </r>
  <r>
    <x v="0"/>
    <x v="3"/>
    <x v="5"/>
    <x v="1"/>
    <x v="2"/>
    <m/>
    <x v="6"/>
    <x v="0"/>
    <x v="0"/>
  </r>
  <r>
    <x v="0"/>
    <x v="3"/>
    <x v="12"/>
    <x v="7"/>
    <x v="7"/>
    <n v="750"/>
    <x v="0"/>
    <x v="0"/>
    <x v="0"/>
  </r>
  <r>
    <x v="0"/>
    <x v="3"/>
    <x v="13"/>
    <x v="8"/>
    <x v="8"/>
    <n v="750"/>
    <x v="0"/>
    <x v="0"/>
    <x v="0"/>
  </r>
  <r>
    <x v="0"/>
    <x v="4"/>
    <x v="5"/>
    <x v="1"/>
    <x v="2"/>
    <m/>
    <x v="7"/>
    <x v="0"/>
    <x v="0"/>
  </r>
  <r>
    <x v="0"/>
    <x v="4"/>
    <x v="13"/>
    <x v="8"/>
    <x v="8"/>
    <n v="750"/>
    <x v="0"/>
    <x v="0"/>
    <x v="0"/>
  </r>
  <r>
    <x v="0"/>
    <x v="4"/>
    <x v="14"/>
    <x v="8"/>
    <x v="9"/>
    <n v="645"/>
    <x v="0"/>
    <x v="0"/>
    <x v="0"/>
  </r>
  <r>
    <x v="0"/>
    <x v="4"/>
    <x v="15"/>
    <x v="9"/>
    <x v="10"/>
    <n v="1290"/>
    <x v="0"/>
    <x v="0"/>
    <x v="0"/>
  </r>
  <r>
    <x v="0"/>
    <x v="4"/>
    <x v="16"/>
    <x v="8"/>
    <x v="8"/>
    <n v="750"/>
    <x v="0"/>
    <x v="0"/>
    <x v="0"/>
  </r>
  <r>
    <x v="0"/>
    <x v="4"/>
    <x v="17"/>
    <x v="8"/>
    <x v="8"/>
    <n v="750"/>
    <x v="0"/>
    <x v="0"/>
    <x v="0"/>
  </r>
  <r>
    <x v="0"/>
    <x v="4"/>
    <x v="18"/>
    <x v="8"/>
    <x v="8"/>
    <n v="750"/>
    <x v="0"/>
    <x v="0"/>
    <x v="0"/>
  </r>
  <r>
    <x v="0"/>
    <x v="4"/>
    <x v="4"/>
    <x v="8"/>
    <x v="1"/>
    <m/>
    <x v="0"/>
    <x v="0"/>
    <x v="0"/>
  </r>
  <r>
    <x v="0"/>
    <x v="4"/>
    <x v="5"/>
    <x v="1"/>
    <x v="2"/>
    <m/>
    <x v="8"/>
    <x v="0"/>
    <x v="0"/>
  </r>
  <r>
    <x v="0"/>
    <x v="4"/>
    <x v="0"/>
    <x v="9"/>
    <x v="9"/>
    <n v="1935"/>
    <x v="0"/>
    <x v="0"/>
    <x v="0"/>
  </r>
  <r>
    <x v="0"/>
    <x v="4"/>
    <x v="19"/>
    <x v="10"/>
    <x v="9"/>
    <n v="1290"/>
    <x v="0"/>
    <x v="0"/>
    <x v="0"/>
  </r>
  <r>
    <x v="0"/>
    <x v="4"/>
    <x v="10"/>
    <x v="10"/>
    <x v="11"/>
    <n v="1100"/>
    <x v="0"/>
    <x v="0"/>
    <x v="0"/>
  </r>
  <r>
    <x v="0"/>
    <x v="4"/>
    <x v="20"/>
    <x v="8"/>
    <x v="12"/>
    <n v="540"/>
    <x v="0"/>
    <x v="0"/>
    <x v="0"/>
  </r>
  <r>
    <x v="0"/>
    <x v="4"/>
    <x v="8"/>
    <x v="8"/>
    <x v="12"/>
    <n v="540"/>
    <x v="0"/>
    <x v="0"/>
    <x v="0"/>
  </r>
  <r>
    <x v="0"/>
    <x v="3"/>
    <x v="5"/>
    <x v="1"/>
    <x v="2"/>
    <m/>
    <x v="9"/>
    <x v="0"/>
    <x v="0"/>
  </r>
  <r>
    <x v="0"/>
    <x v="3"/>
    <x v="17"/>
    <x v="9"/>
    <x v="8"/>
    <n v="2250"/>
    <x v="0"/>
    <x v="0"/>
    <x v="0"/>
  </r>
  <r>
    <x v="0"/>
    <x v="3"/>
    <x v="16"/>
    <x v="0"/>
    <x v="8"/>
    <n v="3000"/>
    <x v="0"/>
    <x v="0"/>
    <x v="0"/>
  </r>
  <r>
    <x v="0"/>
    <x v="3"/>
    <x v="13"/>
    <x v="8"/>
    <x v="8"/>
    <n v="750"/>
    <x v="0"/>
    <x v="0"/>
    <x v="0"/>
  </r>
  <r>
    <x v="0"/>
    <x v="3"/>
    <x v="4"/>
    <x v="9"/>
    <x v="1"/>
    <m/>
    <x v="0"/>
    <x v="0"/>
    <x v="0"/>
  </r>
  <r>
    <x v="0"/>
    <x v="5"/>
    <x v="5"/>
    <x v="1"/>
    <x v="2"/>
    <m/>
    <x v="10"/>
    <x v="0"/>
    <x v="0"/>
  </r>
  <r>
    <x v="0"/>
    <x v="5"/>
    <x v="21"/>
    <x v="9"/>
    <x v="13"/>
    <n v="2220"/>
    <x v="0"/>
    <x v="0"/>
    <x v="0"/>
  </r>
  <r>
    <x v="0"/>
    <x v="5"/>
    <x v="22"/>
    <x v="9"/>
    <x v="14"/>
    <n v="1500"/>
    <x v="0"/>
    <x v="0"/>
    <x v="0"/>
  </r>
  <r>
    <x v="0"/>
    <x v="5"/>
    <x v="10"/>
    <x v="10"/>
    <x v="12"/>
    <n v="1080"/>
    <x v="0"/>
    <x v="0"/>
    <x v="0"/>
  </r>
  <r>
    <x v="0"/>
    <x v="5"/>
    <x v="23"/>
    <x v="10"/>
    <x v="15"/>
    <n v="960"/>
    <x v="0"/>
    <x v="0"/>
    <x v="0"/>
  </r>
  <r>
    <x v="0"/>
    <x v="5"/>
    <x v="24"/>
    <x v="9"/>
    <x v="16"/>
    <n v="1170"/>
    <x v="0"/>
    <x v="0"/>
    <x v="0"/>
  </r>
  <r>
    <x v="0"/>
    <x v="5"/>
    <x v="8"/>
    <x v="10"/>
    <x v="5"/>
    <n v="1050"/>
    <x v="0"/>
    <x v="0"/>
    <x v="0"/>
  </r>
  <r>
    <x v="0"/>
    <x v="5"/>
    <x v="0"/>
    <x v="8"/>
    <x v="17"/>
    <n v="630"/>
    <x v="0"/>
    <x v="0"/>
    <x v="0"/>
  </r>
  <r>
    <x v="0"/>
    <x v="5"/>
    <x v="9"/>
    <x v="11"/>
    <x v="18"/>
    <n v="2052"/>
    <x v="0"/>
    <x v="0"/>
    <x v="0"/>
  </r>
  <r>
    <x v="0"/>
    <x v="5"/>
    <x v="25"/>
    <x v="8"/>
    <x v="19"/>
    <n v="680"/>
    <x v="0"/>
    <x v="0"/>
    <x v="0"/>
  </r>
  <r>
    <x v="0"/>
    <x v="6"/>
    <x v="5"/>
    <x v="1"/>
    <x v="2"/>
    <m/>
    <x v="11"/>
    <x v="0"/>
    <x v="0"/>
  </r>
  <r>
    <x v="0"/>
    <x v="7"/>
    <x v="5"/>
    <x v="1"/>
    <x v="2"/>
    <m/>
    <x v="12"/>
    <x v="0"/>
    <x v="0"/>
  </r>
  <r>
    <x v="0"/>
    <x v="7"/>
    <x v="26"/>
    <x v="0"/>
    <x v="20"/>
    <n v="2240"/>
    <x v="0"/>
    <x v="0"/>
    <x v="0"/>
  </r>
  <r>
    <x v="0"/>
    <x v="7"/>
    <x v="27"/>
    <x v="10"/>
    <x v="20"/>
    <n v="1120"/>
    <x v="0"/>
    <x v="0"/>
    <x v="0"/>
  </r>
  <r>
    <x v="0"/>
    <x v="7"/>
    <x v="28"/>
    <x v="10"/>
    <x v="20"/>
    <n v="1120"/>
    <x v="0"/>
    <x v="0"/>
    <x v="0"/>
  </r>
  <r>
    <x v="0"/>
    <x v="7"/>
    <x v="29"/>
    <x v="8"/>
    <x v="20"/>
    <n v="560"/>
    <x v="0"/>
    <x v="0"/>
    <x v="0"/>
  </r>
  <r>
    <x v="0"/>
    <x v="7"/>
    <x v="20"/>
    <x v="12"/>
    <x v="11"/>
    <n v="2750"/>
    <x v="0"/>
    <x v="0"/>
    <x v="0"/>
  </r>
  <r>
    <x v="0"/>
    <x v="7"/>
    <x v="10"/>
    <x v="2"/>
    <x v="20"/>
    <n v="6720"/>
    <x v="0"/>
    <x v="0"/>
    <x v="0"/>
  </r>
  <r>
    <x v="0"/>
    <x v="7"/>
    <x v="30"/>
    <x v="9"/>
    <x v="20"/>
    <n v="1680"/>
    <x v="0"/>
    <x v="0"/>
    <x v="0"/>
  </r>
  <r>
    <x v="0"/>
    <x v="7"/>
    <x v="8"/>
    <x v="10"/>
    <x v="12"/>
    <n v="1080"/>
    <x v="0"/>
    <x v="0"/>
    <x v="0"/>
  </r>
  <r>
    <x v="0"/>
    <x v="7"/>
    <x v="5"/>
    <x v="1"/>
    <x v="2"/>
    <m/>
    <x v="13"/>
    <x v="0"/>
    <x v="0"/>
  </r>
  <r>
    <x v="0"/>
    <x v="7"/>
    <x v="31"/>
    <x v="13"/>
    <x v="21"/>
    <n v="11880"/>
    <x v="0"/>
    <x v="0"/>
    <x v="0"/>
  </r>
  <r>
    <x v="0"/>
    <x v="7"/>
    <x v="32"/>
    <x v="3"/>
    <x v="22"/>
    <n v="2500"/>
    <x v="0"/>
    <x v="0"/>
    <x v="0"/>
  </r>
  <r>
    <x v="0"/>
    <x v="7"/>
    <x v="33"/>
    <x v="14"/>
    <x v="21"/>
    <n v="3240"/>
    <x v="0"/>
    <x v="0"/>
    <x v="0"/>
  </r>
  <r>
    <x v="0"/>
    <x v="7"/>
    <x v="34"/>
    <x v="14"/>
    <x v="21"/>
    <n v="3240"/>
    <x v="0"/>
    <x v="0"/>
    <x v="0"/>
  </r>
  <r>
    <x v="0"/>
    <x v="7"/>
    <x v="35"/>
    <x v="3"/>
    <x v="21"/>
    <n v="2160"/>
    <x v="0"/>
    <x v="0"/>
    <x v="0"/>
  </r>
  <r>
    <x v="0"/>
    <x v="7"/>
    <x v="17"/>
    <x v="14"/>
    <x v="8"/>
    <n v="11250"/>
    <x v="0"/>
    <x v="0"/>
    <x v="0"/>
  </r>
  <r>
    <x v="0"/>
    <x v="7"/>
    <x v="13"/>
    <x v="10"/>
    <x v="8"/>
    <n v="1500"/>
    <x v="0"/>
    <x v="0"/>
    <x v="0"/>
  </r>
  <r>
    <x v="0"/>
    <x v="7"/>
    <x v="16"/>
    <x v="8"/>
    <x v="8"/>
    <n v="750"/>
    <x v="0"/>
    <x v="0"/>
    <x v="0"/>
  </r>
  <r>
    <x v="0"/>
    <x v="7"/>
    <x v="0"/>
    <x v="11"/>
    <x v="23"/>
    <n v="3900"/>
    <x v="0"/>
    <x v="0"/>
    <x v="0"/>
  </r>
  <r>
    <x v="0"/>
    <x v="7"/>
    <x v="4"/>
    <x v="1"/>
    <x v="2"/>
    <m/>
    <x v="0"/>
    <x v="0"/>
    <x v="0"/>
  </r>
  <r>
    <x v="0"/>
    <x v="8"/>
    <x v="5"/>
    <x v="1"/>
    <x v="2"/>
    <m/>
    <x v="14"/>
    <x v="0"/>
    <x v="0"/>
  </r>
  <r>
    <x v="1"/>
    <x v="9"/>
    <x v="5"/>
    <x v="1"/>
    <x v="2"/>
    <m/>
    <x v="15"/>
    <x v="0"/>
    <x v="0"/>
  </r>
  <r>
    <x v="1"/>
    <x v="9"/>
    <x v="4"/>
    <x v="15"/>
    <x v="24"/>
    <n v="4995"/>
    <x v="0"/>
    <x v="0"/>
    <x v="0"/>
  </r>
  <r>
    <x v="1"/>
    <x v="10"/>
    <x v="5"/>
    <x v="1"/>
    <x v="2"/>
    <m/>
    <x v="16"/>
    <x v="0"/>
    <x v="0"/>
  </r>
  <r>
    <x v="1"/>
    <x v="10"/>
    <x v="4"/>
    <x v="3"/>
    <x v="24"/>
    <n v="1850"/>
    <x v="0"/>
    <x v="0"/>
    <x v="0"/>
  </r>
  <r>
    <x v="1"/>
    <x v="10"/>
    <x v="36"/>
    <x v="12"/>
    <x v="22"/>
    <n v="1250"/>
    <x v="0"/>
    <x v="0"/>
    <x v="0"/>
  </r>
  <r>
    <x v="1"/>
    <x v="10"/>
    <x v="8"/>
    <x v="0"/>
    <x v="12"/>
    <n v="2160"/>
    <x v="0"/>
    <x v="0"/>
    <x v="0"/>
  </r>
  <r>
    <x v="1"/>
    <x v="10"/>
    <x v="30"/>
    <x v="9"/>
    <x v="20"/>
    <n v="1680"/>
    <x v="0"/>
    <x v="0"/>
    <x v="0"/>
  </r>
  <r>
    <x v="1"/>
    <x v="10"/>
    <x v="10"/>
    <x v="10"/>
    <x v="20"/>
    <n v="1120"/>
    <x v="0"/>
    <x v="0"/>
    <x v="0"/>
  </r>
  <r>
    <x v="1"/>
    <x v="10"/>
    <x v="37"/>
    <x v="10"/>
    <x v="20"/>
    <n v="1120"/>
    <x v="0"/>
    <x v="0"/>
    <x v="0"/>
  </r>
  <r>
    <x v="1"/>
    <x v="10"/>
    <x v="1"/>
    <x v="8"/>
    <x v="9"/>
    <n v="645"/>
    <x v="0"/>
    <x v="0"/>
    <x v="0"/>
  </r>
  <r>
    <x v="1"/>
    <x v="10"/>
    <x v="0"/>
    <x v="8"/>
    <x v="9"/>
    <n v="645"/>
    <x v="0"/>
    <x v="0"/>
    <x v="0"/>
  </r>
  <r>
    <x v="1"/>
    <x v="10"/>
    <x v="38"/>
    <x v="10"/>
    <x v="25"/>
    <n v="1760"/>
    <x v="0"/>
    <x v="0"/>
    <x v="0"/>
  </r>
  <r>
    <x v="1"/>
    <x v="11"/>
    <x v="5"/>
    <x v="1"/>
    <x v="2"/>
    <m/>
    <x v="17"/>
    <x v="0"/>
    <x v="0"/>
  </r>
  <r>
    <x v="1"/>
    <x v="11"/>
    <x v="39"/>
    <x v="16"/>
    <x v="26"/>
    <n v="9900"/>
    <x v="0"/>
    <x v="0"/>
    <x v="0"/>
  </r>
  <r>
    <x v="1"/>
    <x v="12"/>
    <x v="5"/>
    <x v="1"/>
    <x v="2"/>
    <m/>
    <x v="18"/>
    <x v="0"/>
    <x v="0"/>
  </r>
  <r>
    <x v="1"/>
    <x v="12"/>
    <x v="39"/>
    <x v="14"/>
    <x v="26"/>
    <n v="4950"/>
    <x v="0"/>
    <x v="0"/>
    <x v="0"/>
  </r>
  <r>
    <x v="1"/>
    <x v="12"/>
    <x v="7"/>
    <x v="11"/>
    <x v="4"/>
    <n v="2070"/>
    <x v="0"/>
    <x v="0"/>
    <x v="0"/>
  </r>
  <r>
    <x v="1"/>
    <x v="12"/>
    <x v="9"/>
    <x v="0"/>
    <x v="4"/>
    <n v="1380"/>
    <x v="0"/>
    <x v="0"/>
    <x v="0"/>
  </r>
  <r>
    <x v="1"/>
    <x v="12"/>
    <x v="39"/>
    <x v="12"/>
    <x v="26"/>
    <n v="1650"/>
    <x v="0"/>
    <x v="0"/>
    <x v="0"/>
  </r>
  <r>
    <x v="1"/>
    <x v="12"/>
    <x v="40"/>
    <x v="10"/>
    <x v="27"/>
    <n v="650"/>
    <x v="0"/>
    <x v="0"/>
    <x v="0"/>
  </r>
  <r>
    <x v="1"/>
    <x v="10"/>
    <x v="5"/>
    <x v="1"/>
    <x v="2"/>
    <m/>
    <x v="19"/>
    <x v="0"/>
    <x v="0"/>
  </r>
  <r>
    <x v="1"/>
    <x v="10"/>
    <x v="26"/>
    <x v="11"/>
    <x v="20"/>
    <n v="3360"/>
    <x v="0"/>
    <x v="0"/>
    <x v="0"/>
  </r>
  <r>
    <x v="1"/>
    <x v="10"/>
    <x v="24"/>
    <x v="9"/>
    <x v="16"/>
    <n v="1170"/>
    <x v="0"/>
    <x v="0"/>
    <x v="0"/>
  </r>
  <r>
    <x v="1"/>
    <x v="10"/>
    <x v="17"/>
    <x v="0"/>
    <x v="8"/>
    <n v="3000"/>
    <x v="0"/>
    <x v="0"/>
    <x v="0"/>
  </r>
  <r>
    <x v="1"/>
    <x v="10"/>
    <x v="15"/>
    <x v="9"/>
    <x v="10"/>
    <n v="1290"/>
    <x v="0"/>
    <x v="0"/>
    <x v="0"/>
  </r>
  <r>
    <x v="1"/>
    <x v="10"/>
    <x v="19"/>
    <x v="0"/>
    <x v="9"/>
    <n v="2580"/>
    <x v="0"/>
    <x v="0"/>
    <x v="0"/>
  </r>
  <r>
    <x v="1"/>
    <x v="10"/>
    <x v="41"/>
    <x v="10"/>
    <x v="9"/>
    <n v="1290"/>
    <x v="0"/>
    <x v="0"/>
    <x v="0"/>
  </r>
  <r>
    <x v="1"/>
    <x v="10"/>
    <x v="4"/>
    <x v="10"/>
    <x v="24"/>
    <m/>
    <x v="0"/>
    <x v="0"/>
    <x v="0"/>
  </r>
  <r>
    <x v="1"/>
    <x v="10"/>
    <x v="42"/>
    <x v="10"/>
    <x v="28"/>
    <n v="1600"/>
    <x v="0"/>
    <x v="0"/>
    <x v="0"/>
  </r>
  <r>
    <x v="1"/>
    <x v="13"/>
    <x v="5"/>
    <x v="1"/>
    <x v="2"/>
    <m/>
    <x v="20"/>
    <x v="0"/>
    <x v="0"/>
  </r>
  <r>
    <x v="1"/>
    <x v="13"/>
    <x v="39"/>
    <x v="3"/>
    <x v="26"/>
    <n v="3300"/>
    <x v="0"/>
    <x v="0"/>
    <x v="0"/>
  </r>
  <r>
    <x v="2"/>
    <x v="14"/>
    <x v="5"/>
    <x v="1"/>
    <x v="2"/>
    <m/>
    <x v="21"/>
    <x v="0"/>
    <x v="0"/>
  </r>
  <r>
    <x v="2"/>
    <x v="14"/>
    <x v="22"/>
    <x v="3"/>
    <x v="14"/>
    <n v="5000"/>
    <x v="0"/>
    <x v="0"/>
    <x v="0"/>
  </r>
  <r>
    <x v="2"/>
    <x v="14"/>
    <x v="21"/>
    <x v="3"/>
    <x v="13"/>
    <n v="7400"/>
    <x v="0"/>
    <x v="0"/>
    <x v="0"/>
  </r>
  <r>
    <x v="2"/>
    <x v="14"/>
    <x v="23"/>
    <x v="12"/>
    <x v="29"/>
    <n v="2450"/>
    <x v="0"/>
    <x v="0"/>
    <x v="0"/>
  </r>
  <r>
    <x v="2"/>
    <x v="14"/>
    <x v="10"/>
    <x v="12"/>
    <x v="30"/>
    <n v="2675"/>
    <x v="0"/>
    <x v="0"/>
    <x v="0"/>
  </r>
  <r>
    <x v="2"/>
    <x v="14"/>
    <x v="37"/>
    <x v="12"/>
    <x v="30"/>
    <n v="2675"/>
    <x v="0"/>
    <x v="0"/>
    <x v="0"/>
  </r>
  <r>
    <x v="2"/>
    <x v="4"/>
    <x v="5"/>
    <x v="1"/>
    <x v="2"/>
    <m/>
    <x v="22"/>
    <x v="0"/>
    <x v="0"/>
  </r>
  <r>
    <x v="2"/>
    <x v="4"/>
    <x v="19"/>
    <x v="10"/>
    <x v="9"/>
    <n v="1290"/>
    <x v="0"/>
    <x v="0"/>
    <x v="0"/>
  </r>
  <r>
    <x v="2"/>
    <x v="4"/>
    <x v="21"/>
    <x v="9"/>
    <x v="31"/>
    <n v="2340"/>
    <x v="0"/>
    <x v="0"/>
    <x v="0"/>
  </r>
  <r>
    <x v="2"/>
    <x v="4"/>
    <x v="22"/>
    <x v="12"/>
    <x v="32"/>
    <n v="2600"/>
    <x v="0"/>
    <x v="0"/>
    <x v="0"/>
  </r>
  <r>
    <x v="2"/>
    <x v="4"/>
    <x v="10"/>
    <x v="12"/>
    <x v="11"/>
    <n v="2750"/>
    <x v="0"/>
    <x v="0"/>
    <x v="0"/>
  </r>
  <r>
    <x v="2"/>
    <x v="4"/>
    <x v="0"/>
    <x v="8"/>
    <x v="9"/>
    <n v="645"/>
    <x v="0"/>
    <x v="0"/>
    <x v="0"/>
  </r>
  <r>
    <x v="2"/>
    <x v="4"/>
    <x v="26"/>
    <x v="12"/>
    <x v="11"/>
    <n v="2750"/>
    <x v="0"/>
    <x v="0"/>
    <x v="0"/>
  </r>
  <r>
    <x v="2"/>
    <x v="4"/>
    <x v="17"/>
    <x v="12"/>
    <x v="8"/>
    <n v="3750"/>
    <x v="0"/>
    <x v="0"/>
    <x v="0"/>
  </r>
  <r>
    <x v="2"/>
    <x v="4"/>
    <x v="18"/>
    <x v="10"/>
    <x v="8"/>
    <n v="1500"/>
    <x v="0"/>
    <x v="0"/>
    <x v="0"/>
  </r>
  <r>
    <x v="2"/>
    <x v="4"/>
    <x v="27"/>
    <x v="8"/>
    <x v="9"/>
    <n v="645"/>
    <x v="0"/>
    <x v="0"/>
    <x v="0"/>
  </r>
  <r>
    <x v="2"/>
    <x v="4"/>
    <x v="30"/>
    <x v="10"/>
    <x v="11"/>
    <n v="1100"/>
    <x v="0"/>
    <x v="0"/>
    <x v="0"/>
  </r>
  <r>
    <x v="2"/>
    <x v="4"/>
    <x v="28"/>
    <x v="8"/>
    <x v="11"/>
    <n v="550"/>
    <x v="0"/>
    <x v="0"/>
    <x v="0"/>
  </r>
  <r>
    <x v="2"/>
    <x v="4"/>
    <x v="4"/>
    <x v="9"/>
    <x v="1"/>
    <m/>
    <x v="0"/>
    <x v="0"/>
    <x v="0"/>
  </r>
  <r>
    <x v="2"/>
    <x v="15"/>
    <x v="5"/>
    <x v="1"/>
    <x v="2"/>
    <m/>
    <x v="23"/>
    <x v="0"/>
    <x v="0"/>
  </r>
  <r>
    <x v="2"/>
    <x v="15"/>
    <x v="8"/>
    <x v="9"/>
    <x v="12"/>
    <n v="1620"/>
    <x v="0"/>
    <x v="0"/>
    <x v="0"/>
  </r>
  <r>
    <x v="2"/>
    <x v="15"/>
    <x v="39"/>
    <x v="12"/>
    <x v="33"/>
    <n v="1670"/>
    <x v="0"/>
    <x v="0"/>
    <x v="0"/>
  </r>
  <r>
    <x v="3"/>
    <x v="16"/>
    <x v="5"/>
    <x v="1"/>
    <x v="2"/>
    <m/>
    <x v="24"/>
    <x v="0"/>
    <x v="0"/>
  </r>
  <r>
    <x v="3"/>
    <x v="16"/>
    <x v="39"/>
    <x v="17"/>
    <x v="26"/>
    <n v="13200"/>
    <x v="0"/>
    <x v="0"/>
    <x v="0"/>
  </r>
  <r>
    <x v="3"/>
    <x v="16"/>
    <x v="9"/>
    <x v="3"/>
    <x v="18"/>
    <n v="3420"/>
    <x v="0"/>
    <x v="0"/>
    <x v="0"/>
  </r>
  <r>
    <x v="3"/>
    <x v="16"/>
    <x v="7"/>
    <x v="3"/>
    <x v="18"/>
    <n v="3420"/>
    <x v="0"/>
    <x v="0"/>
    <x v="0"/>
  </r>
  <r>
    <x v="3"/>
    <x v="11"/>
    <x v="5"/>
    <x v="1"/>
    <x v="2"/>
    <m/>
    <x v="25"/>
    <x v="0"/>
    <x v="0"/>
  </r>
  <r>
    <x v="3"/>
    <x v="11"/>
    <x v="39"/>
    <x v="4"/>
    <x v="26"/>
    <n v="6600"/>
    <x v="0"/>
    <x v="0"/>
    <x v="0"/>
  </r>
  <r>
    <x v="3"/>
    <x v="11"/>
    <x v="43"/>
    <x v="12"/>
    <x v="34"/>
    <n v="1700"/>
    <x v="0"/>
    <x v="0"/>
    <x v="0"/>
  </r>
  <r>
    <x v="3"/>
    <x v="11"/>
    <x v="44"/>
    <x v="17"/>
    <x v="35"/>
    <n v="1700"/>
    <x v="0"/>
    <x v="0"/>
    <x v="0"/>
  </r>
  <r>
    <x v="3"/>
    <x v="11"/>
    <x v="45"/>
    <x v="17"/>
    <x v="35"/>
    <n v="1700"/>
    <x v="0"/>
    <x v="0"/>
    <x v="0"/>
  </r>
  <r>
    <x v="3"/>
    <x v="11"/>
    <x v="46"/>
    <x v="2"/>
    <x v="36"/>
    <n v="1530"/>
    <x v="0"/>
    <x v="0"/>
    <x v="0"/>
  </r>
  <r>
    <x v="3"/>
    <x v="11"/>
    <x v="47"/>
    <x v="18"/>
    <x v="35"/>
    <n v="1020"/>
    <x v="0"/>
    <x v="0"/>
    <x v="0"/>
  </r>
  <r>
    <x v="3"/>
    <x v="4"/>
    <x v="5"/>
    <x v="1"/>
    <x v="2"/>
    <m/>
    <x v="26"/>
    <x v="0"/>
    <x v="0"/>
  </r>
  <r>
    <x v="3"/>
    <x v="4"/>
    <x v="33"/>
    <x v="3"/>
    <x v="21"/>
    <n v="2160"/>
    <x v="0"/>
    <x v="0"/>
    <x v="0"/>
  </r>
  <r>
    <x v="3"/>
    <x v="4"/>
    <x v="32"/>
    <x v="11"/>
    <x v="22"/>
    <n v="1500"/>
    <x v="0"/>
    <x v="0"/>
    <x v="0"/>
  </r>
  <r>
    <x v="3"/>
    <x v="4"/>
    <x v="48"/>
    <x v="4"/>
    <x v="37"/>
    <n v="6000"/>
    <x v="0"/>
    <x v="0"/>
    <x v="0"/>
  </r>
  <r>
    <x v="3"/>
    <x v="17"/>
    <x v="5"/>
    <x v="1"/>
    <x v="2"/>
    <m/>
    <x v="27"/>
    <x v="0"/>
    <x v="0"/>
  </r>
  <r>
    <x v="3"/>
    <x v="17"/>
    <x v="39"/>
    <x v="3"/>
    <x v="26"/>
    <n v="3300"/>
    <x v="0"/>
    <x v="0"/>
    <x v="0"/>
  </r>
  <r>
    <x v="3"/>
    <x v="17"/>
    <x v="7"/>
    <x v="10"/>
    <x v="4"/>
    <n v="690"/>
    <x v="0"/>
    <x v="0"/>
    <x v="0"/>
  </r>
  <r>
    <x v="3"/>
    <x v="1"/>
    <x v="5"/>
    <x v="1"/>
    <x v="2"/>
    <m/>
    <x v="28"/>
    <x v="0"/>
    <x v="0"/>
  </r>
  <r>
    <x v="3"/>
    <x v="1"/>
    <x v="12"/>
    <x v="19"/>
    <x v="2"/>
    <n v="16500"/>
    <x v="0"/>
    <x v="0"/>
    <x v="0"/>
  </r>
  <r>
    <x v="3"/>
    <x v="1"/>
    <x v="39"/>
    <x v="20"/>
    <x v="26"/>
    <n v="16500"/>
    <x v="0"/>
    <x v="0"/>
    <x v="0"/>
  </r>
  <r>
    <x v="3"/>
    <x v="18"/>
    <x v="5"/>
    <x v="1"/>
    <x v="2"/>
    <m/>
    <x v="29"/>
    <x v="0"/>
    <x v="0"/>
  </r>
  <r>
    <x v="3"/>
    <x v="18"/>
    <x v="39"/>
    <x v="21"/>
    <x v="26"/>
    <n v="14850"/>
    <x v="0"/>
    <x v="0"/>
    <x v="0"/>
  </r>
  <r>
    <x v="3"/>
    <x v="18"/>
    <x v="7"/>
    <x v="3"/>
    <x v="4"/>
    <n v="3450"/>
    <x v="0"/>
    <x v="0"/>
    <x v="0"/>
  </r>
  <r>
    <x v="3"/>
    <x v="18"/>
    <x v="9"/>
    <x v="3"/>
    <x v="4"/>
    <n v="3450"/>
    <x v="0"/>
    <x v="0"/>
    <x v="0"/>
  </r>
  <r>
    <x v="3"/>
    <x v="15"/>
    <x v="5"/>
    <x v="1"/>
    <x v="2"/>
    <m/>
    <x v="30"/>
    <x v="0"/>
    <x v="0"/>
  </r>
  <r>
    <x v="3"/>
    <x v="15"/>
    <x v="39"/>
    <x v="8"/>
    <x v="6"/>
    <n v="335"/>
    <x v="0"/>
    <x v="0"/>
    <x v="0"/>
  </r>
  <r>
    <x v="3"/>
    <x v="15"/>
    <x v="49"/>
    <x v="22"/>
    <x v="38"/>
    <n v="200"/>
    <x v="0"/>
    <x v="0"/>
    <x v="0"/>
  </r>
  <r>
    <x v="3"/>
    <x v="15"/>
    <x v="7"/>
    <x v="8"/>
    <x v="39"/>
    <n v="350"/>
    <x v="0"/>
    <x v="0"/>
    <x v="0"/>
  </r>
  <r>
    <x v="4"/>
    <x v="17"/>
    <x v="5"/>
    <x v="1"/>
    <x v="2"/>
    <m/>
    <x v="31"/>
    <x v="0"/>
    <x v="0"/>
  </r>
  <r>
    <x v="4"/>
    <x v="17"/>
    <x v="39"/>
    <x v="23"/>
    <x v="26"/>
    <n v="13860"/>
    <x v="0"/>
    <x v="0"/>
    <x v="0"/>
  </r>
  <r>
    <x v="4"/>
    <x v="17"/>
    <x v="43"/>
    <x v="0"/>
    <x v="4"/>
    <n v="1380"/>
    <x v="0"/>
    <x v="0"/>
    <x v="0"/>
  </r>
  <r>
    <x v="5"/>
    <x v="19"/>
    <x v="5"/>
    <x v="1"/>
    <x v="2"/>
    <m/>
    <x v="32"/>
    <x v="0"/>
    <x v="0"/>
  </r>
  <r>
    <x v="5"/>
    <x v="19"/>
    <x v="23"/>
    <x v="8"/>
    <x v="14"/>
    <n v="500"/>
    <x v="0"/>
    <x v="0"/>
    <x v="0"/>
  </r>
  <r>
    <x v="5"/>
    <x v="19"/>
    <x v="22"/>
    <x v="10"/>
    <x v="32"/>
    <n v="1040"/>
    <x v="0"/>
    <x v="0"/>
    <x v="0"/>
  </r>
  <r>
    <x v="5"/>
    <x v="19"/>
    <x v="21"/>
    <x v="10"/>
    <x v="31"/>
    <n v="1560"/>
    <x v="0"/>
    <x v="0"/>
    <x v="0"/>
  </r>
  <r>
    <x v="5"/>
    <x v="19"/>
    <x v="39"/>
    <x v="9"/>
    <x v="6"/>
    <n v="1005"/>
    <x v="0"/>
    <x v="0"/>
    <x v="0"/>
  </r>
  <r>
    <x v="5"/>
    <x v="20"/>
    <x v="5"/>
    <x v="1"/>
    <x v="2"/>
    <m/>
    <x v="33"/>
    <x v="0"/>
    <x v="0"/>
  </r>
  <r>
    <x v="5"/>
    <x v="20"/>
    <x v="39"/>
    <x v="3"/>
    <x v="6"/>
    <n v="3350"/>
    <x v="0"/>
    <x v="0"/>
    <x v="0"/>
  </r>
  <r>
    <x v="5"/>
    <x v="20"/>
    <x v="23"/>
    <x v="8"/>
    <x v="14"/>
    <n v="500"/>
    <x v="0"/>
    <x v="0"/>
    <x v="0"/>
  </r>
  <r>
    <x v="5"/>
    <x v="21"/>
    <x v="5"/>
    <x v="1"/>
    <x v="2"/>
    <m/>
    <x v="34"/>
    <x v="0"/>
    <x v="0"/>
  </r>
  <r>
    <x v="5"/>
    <x v="21"/>
    <x v="4"/>
    <x v="12"/>
    <x v="24"/>
    <n v="925"/>
    <x v="0"/>
    <x v="0"/>
    <x v="0"/>
  </r>
  <r>
    <x v="5"/>
    <x v="1"/>
    <x v="5"/>
    <x v="1"/>
    <x v="2"/>
    <m/>
    <x v="35"/>
    <x v="0"/>
    <x v="0"/>
  </r>
  <r>
    <x v="5"/>
    <x v="1"/>
    <x v="7"/>
    <x v="12"/>
    <x v="4"/>
    <n v="1725"/>
    <x v="0"/>
    <x v="0"/>
    <x v="0"/>
  </r>
  <r>
    <x v="5"/>
    <x v="1"/>
    <x v="39"/>
    <x v="4"/>
    <x v="40"/>
    <n v="6640"/>
    <x v="0"/>
    <x v="0"/>
    <x v="0"/>
  </r>
  <r>
    <x v="5"/>
    <x v="1"/>
    <x v="7"/>
    <x v="8"/>
    <x v="4"/>
    <n v="345"/>
    <x v="0"/>
    <x v="0"/>
    <x v="0"/>
  </r>
  <r>
    <x v="5"/>
    <x v="1"/>
    <x v="9"/>
    <x v="0"/>
    <x v="4"/>
    <n v="1380"/>
    <x v="0"/>
    <x v="0"/>
    <x v="0"/>
  </r>
  <r>
    <x v="5"/>
    <x v="17"/>
    <x v="5"/>
    <x v="1"/>
    <x v="2"/>
    <m/>
    <x v="36"/>
    <x v="0"/>
    <x v="0"/>
  </r>
  <r>
    <x v="5"/>
    <x v="17"/>
    <x v="39"/>
    <x v="12"/>
    <x v="26"/>
    <n v="1650"/>
    <x v="0"/>
    <x v="0"/>
    <x v="0"/>
  </r>
  <r>
    <x v="5"/>
    <x v="17"/>
    <x v="39"/>
    <x v="24"/>
    <x v="26"/>
    <n v="33000"/>
    <x v="0"/>
    <x v="0"/>
    <x v="0"/>
  </r>
  <r>
    <x v="5"/>
    <x v="17"/>
    <x v="40"/>
    <x v="3"/>
    <x v="27"/>
    <n v="3250"/>
    <x v="0"/>
    <x v="0"/>
    <x v="0"/>
  </r>
  <r>
    <x v="6"/>
    <x v="5"/>
    <x v="5"/>
    <x v="1"/>
    <x v="2"/>
    <m/>
    <x v="37"/>
    <x v="0"/>
    <x v="0"/>
  </r>
  <r>
    <x v="6"/>
    <x v="5"/>
    <x v="50"/>
    <x v="8"/>
    <x v="14"/>
    <n v="500"/>
    <x v="0"/>
    <x v="0"/>
    <x v="0"/>
  </r>
  <r>
    <x v="6"/>
    <x v="5"/>
    <x v="8"/>
    <x v="0"/>
    <x v="5"/>
    <n v="2100"/>
    <x v="0"/>
    <x v="0"/>
    <x v="0"/>
  </r>
  <r>
    <x v="6"/>
    <x v="5"/>
    <x v="39"/>
    <x v="3"/>
    <x v="41"/>
    <n v="3280"/>
    <x v="0"/>
    <x v="0"/>
    <x v="0"/>
  </r>
  <r>
    <x v="6"/>
    <x v="5"/>
    <x v="9"/>
    <x v="11"/>
    <x v="18"/>
    <n v="2052"/>
    <x v="0"/>
    <x v="0"/>
    <x v="0"/>
  </r>
  <r>
    <x v="6"/>
    <x v="5"/>
    <x v="7"/>
    <x v="0"/>
    <x v="18"/>
    <n v="1368"/>
    <x v="0"/>
    <x v="0"/>
    <x v="0"/>
  </r>
  <r>
    <x v="6"/>
    <x v="5"/>
    <x v="24"/>
    <x v="10"/>
    <x v="16"/>
    <n v="780"/>
    <x v="0"/>
    <x v="0"/>
    <x v="0"/>
  </r>
  <r>
    <x v="6"/>
    <x v="5"/>
    <x v="21"/>
    <x v="8"/>
    <x v="13"/>
    <n v="740"/>
    <x v="0"/>
    <x v="0"/>
    <x v="0"/>
  </r>
  <r>
    <x v="6"/>
    <x v="5"/>
    <x v="25"/>
    <x v="8"/>
    <x v="19"/>
    <n v="680"/>
    <x v="0"/>
    <x v="0"/>
    <x v="0"/>
  </r>
  <r>
    <x v="6"/>
    <x v="5"/>
    <x v="22"/>
    <x v="10"/>
    <x v="14"/>
    <n v="1000"/>
    <x v="0"/>
    <x v="0"/>
    <x v="0"/>
  </r>
  <r>
    <x v="6"/>
    <x v="5"/>
    <x v="23"/>
    <x v="10"/>
    <x v="42"/>
    <n v="970"/>
    <x v="0"/>
    <x v="0"/>
    <x v="0"/>
  </r>
  <r>
    <x v="6"/>
    <x v="5"/>
    <x v="5"/>
    <x v="1"/>
    <x v="2"/>
    <m/>
    <x v="38"/>
    <x v="0"/>
    <x v="0"/>
  </r>
  <r>
    <x v="6"/>
    <x v="5"/>
    <x v="26"/>
    <x v="8"/>
    <x v="12"/>
    <n v="540"/>
    <x v="0"/>
    <x v="0"/>
    <x v="0"/>
  </r>
  <r>
    <x v="6"/>
    <x v="5"/>
    <x v="10"/>
    <x v="8"/>
    <x v="12"/>
    <n v="540"/>
    <x v="0"/>
    <x v="0"/>
    <x v="0"/>
  </r>
  <r>
    <x v="6"/>
    <x v="19"/>
    <x v="5"/>
    <x v="1"/>
    <x v="2"/>
    <m/>
    <x v="39"/>
    <x v="0"/>
    <x v="0"/>
  </r>
  <r>
    <x v="6"/>
    <x v="19"/>
    <x v="25"/>
    <x v="8"/>
    <x v="19"/>
    <n v="680"/>
    <x v="0"/>
    <x v="0"/>
    <x v="0"/>
  </r>
  <r>
    <x v="6"/>
    <x v="22"/>
    <x v="5"/>
    <x v="1"/>
    <x v="2"/>
    <m/>
    <x v="40"/>
    <x v="0"/>
    <x v="0"/>
  </r>
  <r>
    <x v="6"/>
    <x v="22"/>
    <x v="39"/>
    <x v="10"/>
    <x v="6"/>
    <n v="670"/>
    <x v="0"/>
    <x v="0"/>
    <x v="0"/>
  </r>
  <r>
    <x v="6"/>
    <x v="22"/>
    <x v="40"/>
    <x v="8"/>
    <x v="27"/>
    <n v="325"/>
    <x v="0"/>
    <x v="0"/>
    <x v="0"/>
  </r>
  <r>
    <x v="6"/>
    <x v="22"/>
    <x v="7"/>
    <x v="8"/>
    <x v="39"/>
    <n v="350"/>
    <x v="0"/>
    <x v="0"/>
    <x v="0"/>
  </r>
  <r>
    <x v="6"/>
    <x v="22"/>
    <x v="9"/>
    <x v="8"/>
    <x v="39"/>
    <n v="350"/>
    <x v="0"/>
    <x v="0"/>
    <x v="0"/>
  </r>
  <r>
    <x v="7"/>
    <x v="14"/>
    <x v="5"/>
    <x v="1"/>
    <x v="2"/>
    <m/>
    <x v="41"/>
    <x v="0"/>
    <x v="0"/>
  </r>
  <r>
    <x v="7"/>
    <x v="14"/>
    <x v="7"/>
    <x v="4"/>
    <x v="18"/>
    <n v="6840"/>
    <x v="0"/>
    <x v="0"/>
    <x v="0"/>
  </r>
  <r>
    <x v="7"/>
    <x v="14"/>
    <x v="9"/>
    <x v="14"/>
    <x v="18"/>
    <n v="5130"/>
    <x v="0"/>
    <x v="0"/>
    <x v="0"/>
  </r>
  <r>
    <x v="7"/>
    <x v="14"/>
    <x v="25"/>
    <x v="12"/>
    <x v="19"/>
    <n v="3400"/>
    <x v="0"/>
    <x v="0"/>
    <x v="0"/>
  </r>
  <r>
    <x v="7"/>
    <x v="14"/>
    <x v="23"/>
    <x v="12"/>
    <x v="29"/>
    <n v="2450"/>
    <x v="0"/>
    <x v="0"/>
    <x v="0"/>
  </r>
  <r>
    <x v="7"/>
    <x v="1"/>
    <x v="5"/>
    <x v="1"/>
    <x v="2"/>
    <m/>
    <x v="42"/>
    <x v="0"/>
    <x v="0"/>
  </r>
  <r>
    <x v="7"/>
    <x v="1"/>
    <x v="12"/>
    <x v="25"/>
    <x v="2"/>
    <n v="6770"/>
    <x v="0"/>
    <x v="0"/>
    <x v="0"/>
  </r>
  <r>
    <x v="7"/>
    <x v="1"/>
    <x v="39"/>
    <x v="3"/>
    <x v="40"/>
    <n v="3320"/>
    <x v="0"/>
    <x v="0"/>
    <x v="0"/>
  </r>
  <r>
    <x v="7"/>
    <x v="1"/>
    <x v="7"/>
    <x v="12"/>
    <x v="4"/>
    <n v="1725"/>
    <x v="0"/>
    <x v="0"/>
    <x v="0"/>
  </r>
  <r>
    <x v="7"/>
    <x v="1"/>
    <x v="9"/>
    <x v="12"/>
    <x v="4"/>
    <n v="1725"/>
    <x v="0"/>
    <x v="0"/>
    <x v="0"/>
  </r>
  <r>
    <x v="8"/>
    <x v="5"/>
    <x v="5"/>
    <x v="1"/>
    <x v="2"/>
    <m/>
    <x v="43"/>
    <x v="0"/>
    <x v="0"/>
  </r>
  <r>
    <x v="8"/>
    <x v="5"/>
    <x v="49"/>
    <x v="26"/>
    <x v="43"/>
    <n v="5700"/>
    <x v="0"/>
    <x v="0"/>
    <x v="0"/>
  </r>
  <r>
    <x v="8"/>
    <x v="5"/>
    <x v="9"/>
    <x v="0"/>
    <x v="18"/>
    <n v="1368"/>
    <x v="0"/>
    <x v="0"/>
    <x v="0"/>
  </r>
  <r>
    <x v="8"/>
    <x v="5"/>
    <x v="7"/>
    <x v="9"/>
    <x v="18"/>
    <n v="1026"/>
    <x v="0"/>
    <x v="0"/>
    <x v="0"/>
  </r>
  <r>
    <x v="8"/>
    <x v="5"/>
    <x v="23"/>
    <x v="8"/>
    <x v="15"/>
    <n v="480"/>
    <x v="0"/>
    <x v="0"/>
    <x v="0"/>
  </r>
  <r>
    <x v="8"/>
    <x v="5"/>
    <x v="8"/>
    <x v="10"/>
    <x v="5"/>
    <n v="1050"/>
    <x v="0"/>
    <x v="0"/>
    <x v="0"/>
  </r>
  <r>
    <x v="8"/>
    <x v="23"/>
    <x v="5"/>
    <x v="1"/>
    <x v="2"/>
    <m/>
    <x v="44"/>
    <x v="0"/>
    <x v="0"/>
  </r>
  <r>
    <x v="8"/>
    <x v="23"/>
    <x v="49"/>
    <x v="26"/>
    <x v="44"/>
    <n v="5850"/>
    <x v="0"/>
    <x v="0"/>
    <x v="0"/>
  </r>
  <r>
    <x v="8"/>
    <x v="23"/>
    <x v="39"/>
    <x v="3"/>
    <x v="6"/>
    <n v="3350"/>
    <x v="0"/>
    <x v="0"/>
    <x v="0"/>
  </r>
  <r>
    <x v="8"/>
    <x v="23"/>
    <x v="8"/>
    <x v="12"/>
    <x v="12"/>
    <n v="2700"/>
    <x v="0"/>
    <x v="0"/>
    <x v="0"/>
  </r>
  <r>
    <x v="8"/>
    <x v="23"/>
    <x v="9"/>
    <x v="11"/>
    <x v="39"/>
    <n v="2100"/>
    <x v="0"/>
    <x v="0"/>
    <x v="0"/>
  </r>
  <r>
    <x v="8"/>
    <x v="23"/>
    <x v="50"/>
    <x v="10"/>
    <x v="32"/>
    <n v="1040"/>
    <x v="0"/>
    <x v="0"/>
    <x v="0"/>
  </r>
  <r>
    <x v="8"/>
    <x v="23"/>
    <x v="51"/>
    <x v="8"/>
    <x v="9"/>
    <n v="645"/>
    <x v="0"/>
    <x v="0"/>
    <x v="0"/>
  </r>
  <r>
    <x v="8"/>
    <x v="24"/>
    <x v="5"/>
    <x v="1"/>
    <x v="2"/>
    <m/>
    <x v="45"/>
    <x v="0"/>
    <x v="0"/>
  </r>
  <r>
    <x v="8"/>
    <x v="24"/>
    <x v="7"/>
    <x v="2"/>
    <x v="18"/>
    <n v="4104"/>
    <x v="0"/>
    <x v="0"/>
    <x v="0"/>
  </r>
  <r>
    <x v="8"/>
    <x v="24"/>
    <x v="9"/>
    <x v="9"/>
    <x v="18"/>
    <n v="1026"/>
    <x v="0"/>
    <x v="0"/>
    <x v="0"/>
  </r>
  <r>
    <x v="8"/>
    <x v="12"/>
    <x v="5"/>
    <x v="1"/>
    <x v="2"/>
    <m/>
    <x v="46"/>
    <x v="0"/>
    <x v="0"/>
  </r>
  <r>
    <x v="8"/>
    <x v="12"/>
    <x v="39"/>
    <x v="14"/>
    <x v="26"/>
    <n v="4950"/>
    <x v="0"/>
    <x v="0"/>
    <x v="0"/>
  </r>
  <r>
    <x v="8"/>
    <x v="4"/>
    <x v="5"/>
    <x v="1"/>
    <x v="2"/>
    <m/>
    <x v="47"/>
    <x v="0"/>
    <x v="0"/>
  </r>
  <r>
    <x v="8"/>
    <x v="4"/>
    <x v="4"/>
    <x v="3"/>
    <x v="24"/>
    <n v="1850"/>
    <x v="0"/>
    <x v="0"/>
    <x v="0"/>
  </r>
  <r>
    <x v="8"/>
    <x v="4"/>
    <x v="39"/>
    <x v="3"/>
    <x v="26"/>
    <n v="3300"/>
    <x v="0"/>
    <x v="0"/>
    <x v="0"/>
  </r>
  <r>
    <x v="8"/>
    <x v="15"/>
    <x v="5"/>
    <x v="1"/>
    <x v="2"/>
    <m/>
    <x v="48"/>
    <x v="0"/>
    <x v="0"/>
  </r>
  <r>
    <x v="8"/>
    <x v="15"/>
    <x v="49"/>
    <x v="26"/>
    <x v="43"/>
    <n v="5700"/>
    <x v="0"/>
    <x v="0"/>
    <x v="0"/>
  </r>
  <r>
    <x v="9"/>
    <x v="15"/>
    <x v="5"/>
    <x v="1"/>
    <x v="2"/>
    <m/>
    <x v="49"/>
    <x v="0"/>
    <x v="0"/>
  </r>
  <r>
    <x v="9"/>
    <x v="15"/>
    <x v="26"/>
    <x v="10"/>
    <x v="12"/>
    <n v="1080"/>
    <x v="0"/>
    <x v="0"/>
    <x v="0"/>
  </r>
  <r>
    <x v="9"/>
    <x v="15"/>
    <x v="7"/>
    <x v="8"/>
    <x v="39"/>
    <n v="350"/>
    <x v="0"/>
    <x v="0"/>
    <x v="0"/>
  </r>
  <r>
    <x v="9"/>
    <x v="15"/>
    <x v="52"/>
    <x v="8"/>
    <x v="5"/>
    <n v="525"/>
    <x v="0"/>
    <x v="0"/>
    <x v="0"/>
  </r>
  <r>
    <x v="9"/>
    <x v="6"/>
    <x v="5"/>
    <x v="1"/>
    <x v="2"/>
    <m/>
    <x v="50"/>
    <x v="0"/>
    <x v="0"/>
  </r>
  <r>
    <x v="9"/>
    <x v="2"/>
    <x v="5"/>
    <x v="1"/>
    <x v="2"/>
    <m/>
    <x v="51"/>
    <x v="0"/>
    <x v="0"/>
  </r>
  <r>
    <x v="9"/>
    <x v="2"/>
    <x v="4"/>
    <x v="8"/>
    <x v="24"/>
    <n v="185"/>
    <x v="0"/>
    <x v="0"/>
    <x v="0"/>
  </r>
  <r>
    <x v="9"/>
    <x v="1"/>
    <x v="5"/>
    <x v="1"/>
    <x v="2"/>
    <m/>
    <x v="52"/>
    <x v="0"/>
    <x v="0"/>
  </r>
  <r>
    <x v="9"/>
    <x v="1"/>
    <x v="39"/>
    <x v="27"/>
    <x v="40"/>
    <n v="11620"/>
    <x v="0"/>
    <x v="0"/>
    <x v="0"/>
  </r>
  <r>
    <x v="9"/>
    <x v="1"/>
    <x v="9"/>
    <x v="12"/>
    <x v="4"/>
    <n v="1725"/>
    <x v="0"/>
    <x v="0"/>
    <x v="0"/>
  </r>
  <r>
    <x v="9"/>
    <x v="25"/>
    <x v="5"/>
    <x v="1"/>
    <x v="2"/>
    <m/>
    <x v="53"/>
    <x v="0"/>
    <x v="0"/>
  </r>
  <r>
    <x v="9"/>
    <x v="25"/>
    <x v="53"/>
    <x v="11"/>
    <x v="45"/>
    <n v="1320"/>
    <x v="0"/>
    <x v="0"/>
    <x v="0"/>
  </r>
  <r>
    <x v="10"/>
    <x v="15"/>
    <x v="5"/>
    <x v="1"/>
    <x v="2"/>
    <m/>
    <x v="6"/>
    <x v="0"/>
    <x v="0"/>
  </r>
  <r>
    <x v="10"/>
    <x v="15"/>
    <x v="7"/>
    <x v="8"/>
    <x v="39"/>
    <n v="350"/>
    <x v="0"/>
    <x v="0"/>
    <x v="0"/>
  </r>
  <r>
    <x v="10"/>
    <x v="15"/>
    <x v="24"/>
    <x v="8"/>
    <x v="46"/>
    <n v="400"/>
    <x v="0"/>
    <x v="0"/>
    <x v="0"/>
  </r>
  <r>
    <x v="10"/>
    <x v="12"/>
    <x v="5"/>
    <x v="1"/>
    <x v="2"/>
    <m/>
    <x v="54"/>
    <x v="0"/>
    <x v="0"/>
  </r>
  <r>
    <x v="10"/>
    <x v="12"/>
    <x v="39"/>
    <x v="4"/>
    <x v="26"/>
    <n v="6600"/>
    <x v="0"/>
    <x v="0"/>
    <x v="0"/>
  </r>
  <r>
    <x v="10"/>
    <x v="12"/>
    <x v="7"/>
    <x v="12"/>
    <x v="4"/>
    <n v="1725"/>
    <x v="0"/>
    <x v="0"/>
    <x v="0"/>
  </r>
  <r>
    <x v="10"/>
    <x v="12"/>
    <x v="9"/>
    <x v="12"/>
    <x v="4"/>
    <n v="1725"/>
    <x v="0"/>
    <x v="0"/>
    <x v="0"/>
  </r>
  <r>
    <x v="10"/>
    <x v="26"/>
    <x v="5"/>
    <x v="1"/>
    <x v="2"/>
    <m/>
    <x v="55"/>
    <x v="0"/>
    <x v="0"/>
  </r>
  <r>
    <x v="10"/>
    <x v="26"/>
    <x v="49"/>
    <x v="28"/>
    <x v="43"/>
    <n v="950"/>
    <x v="0"/>
    <x v="0"/>
    <x v="0"/>
  </r>
  <r>
    <x v="10"/>
    <x v="1"/>
    <x v="5"/>
    <x v="1"/>
    <x v="2"/>
    <m/>
    <x v="56"/>
    <x v="0"/>
    <x v="0"/>
  </r>
  <r>
    <x v="10"/>
    <x v="1"/>
    <x v="12"/>
    <x v="29"/>
    <x v="2"/>
    <n v="16600"/>
    <x v="0"/>
    <x v="0"/>
    <x v="0"/>
  </r>
  <r>
    <x v="10"/>
    <x v="1"/>
    <x v="39"/>
    <x v="20"/>
    <x v="40"/>
    <n v="16600"/>
    <x v="0"/>
    <x v="0"/>
    <x v="0"/>
  </r>
  <r>
    <x v="11"/>
    <x v="5"/>
    <x v="5"/>
    <x v="1"/>
    <x v="2"/>
    <m/>
    <x v="57"/>
    <x v="0"/>
    <x v="0"/>
  </r>
  <r>
    <x v="11"/>
    <x v="5"/>
    <x v="21"/>
    <x v="10"/>
    <x v="13"/>
    <n v="1480"/>
    <x v="0"/>
    <x v="0"/>
    <x v="0"/>
  </r>
  <r>
    <x v="11"/>
    <x v="5"/>
    <x v="22"/>
    <x v="10"/>
    <x v="14"/>
    <n v="1000"/>
    <x v="0"/>
    <x v="0"/>
    <x v="0"/>
  </r>
  <r>
    <x v="11"/>
    <x v="5"/>
    <x v="25"/>
    <x v="10"/>
    <x v="19"/>
    <n v="1360"/>
    <x v="0"/>
    <x v="0"/>
    <x v="0"/>
  </r>
  <r>
    <x v="11"/>
    <x v="5"/>
    <x v="23"/>
    <x v="10"/>
    <x v="29"/>
    <n v="980"/>
    <x v="0"/>
    <x v="0"/>
    <x v="0"/>
  </r>
  <r>
    <x v="11"/>
    <x v="5"/>
    <x v="39"/>
    <x v="3"/>
    <x v="26"/>
    <n v="3300"/>
    <x v="0"/>
    <x v="0"/>
    <x v="0"/>
  </r>
  <r>
    <x v="11"/>
    <x v="5"/>
    <x v="8"/>
    <x v="12"/>
    <x v="5"/>
    <n v="2625"/>
    <x v="0"/>
    <x v="0"/>
    <x v="0"/>
  </r>
  <r>
    <x v="11"/>
    <x v="5"/>
    <x v="10"/>
    <x v="10"/>
    <x v="12"/>
    <n v="1080"/>
    <x v="0"/>
    <x v="0"/>
    <x v="0"/>
  </r>
  <r>
    <x v="11"/>
    <x v="5"/>
    <x v="7"/>
    <x v="12"/>
    <x v="18"/>
    <n v="1710"/>
    <x v="0"/>
    <x v="0"/>
    <x v="0"/>
  </r>
  <r>
    <x v="11"/>
    <x v="5"/>
    <x v="9"/>
    <x v="12"/>
    <x v="18"/>
    <n v="1710"/>
    <x v="0"/>
    <x v="0"/>
    <x v="0"/>
  </r>
  <r>
    <x v="11"/>
    <x v="5"/>
    <x v="49"/>
    <x v="30"/>
    <x v="43"/>
    <n v="7600"/>
    <x v="0"/>
    <x v="0"/>
    <x v="0"/>
  </r>
  <r>
    <x v="11"/>
    <x v="1"/>
    <x v="5"/>
    <x v="1"/>
    <x v="2"/>
    <m/>
    <x v="3"/>
    <x v="0"/>
    <x v="0"/>
  </r>
  <r>
    <x v="11"/>
    <x v="1"/>
    <x v="12"/>
    <x v="29"/>
    <x v="2"/>
    <n v="3450"/>
    <x v="0"/>
    <x v="0"/>
    <x v="0"/>
  </r>
  <r>
    <x v="11"/>
    <x v="1"/>
    <x v="7"/>
    <x v="11"/>
    <x v="4"/>
    <n v="2070"/>
    <x v="0"/>
    <x v="0"/>
    <x v="0"/>
  </r>
  <r>
    <x v="11"/>
    <x v="1"/>
    <x v="9"/>
    <x v="0"/>
    <x v="4"/>
    <n v="1380"/>
    <x v="0"/>
    <x v="0"/>
    <x v="0"/>
  </r>
  <r>
    <x v="11"/>
    <x v="14"/>
    <x v="5"/>
    <x v="1"/>
    <x v="2"/>
    <m/>
    <x v="58"/>
    <x v="0"/>
    <x v="0"/>
  </r>
  <r>
    <x v="11"/>
    <x v="14"/>
    <x v="7"/>
    <x v="31"/>
    <x v="18"/>
    <n v="4446"/>
    <x v="0"/>
    <x v="0"/>
    <x v="0"/>
  </r>
  <r>
    <x v="11"/>
    <x v="14"/>
    <x v="9"/>
    <x v="31"/>
    <x v="18"/>
    <n v="4446"/>
    <x v="0"/>
    <x v="0"/>
    <x v="0"/>
  </r>
  <r>
    <x v="11"/>
    <x v="14"/>
    <x v="39"/>
    <x v="20"/>
    <x v="26"/>
    <n v="16500"/>
    <x v="0"/>
    <x v="0"/>
    <x v="0"/>
  </r>
  <r>
    <x v="11"/>
    <x v="14"/>
    <x v="49"/>
    <x v="32"/>
    <x v="47"/>
    <n v="28200"/>
    <x v="0"/>
    <x v="0"/>
    <x v="0"/>
  </r>
  <r>
    <x v="11"/>
    <x v="14"/>
    <x v="23"/>
    <x v="12"/>
    <x v="29"/>
    <n v="2450"/>
    <x v="0"/>
    <x v="0"/>
    <x v="0"/>
  </r>
  <r>
    <x v="11"/>
    <x v="14"/>
    <x v="21"/>
    <x v="12"/>
    <x v="13"/>
    <n v="3700"/>
    <x v="0"/>
    <x v="0"/>
    <x v="0"/>
  </r>
  <r>
    <x v="11"/>
    <x v="14"/>
    <x v="22"/>
    <x v="12"/>
    <x v="14"/>
    <n v="2500"/>
    <x v="0"/>
    <x v="0"/>
    <x v="0"/>
  </r>
  <r>
    <x v="11"/>
    <x v="14"/>
    <x v="52"/>
    <x v="12"/>
    <x v="5"/>
    <n v="2625"/>
    <x v="0"/>
    <x v="0"/>
    <x v="0"/>
  </r>
  <r>
    <x v="11"/>
    <x v="14"/>
    <x v="10"/>
    <x v="12"/>
    <x v="30"/>
    <n v="2675"/>
    <x v="0"/>
    <x v="0"/>
    <x v="0"/>
  </r>
  <r>
    <x v="11"/>
    <x v="14"/>
    <x v="54"/>
    <x v="10"/>
    <x v="48"/>
    <n v="100"/>
    <x v="0"/>
    <x v="0"/>
    <x v="0"/>
  </r>
  <r>
    <x v="11"/>
    <x v="8"/>
    <x v="5"/>
    <x v="1"/>
    <x v="2"/>
    <m/>
    <x v="0"/>
    <x v="0"/>
    <x v="0"/>
  </r>
  <r>
    <x v="12"/>
    <x v="15"/>
    <x v="5"/>
    <x v="1"/>
    <x v="2"/>
    <m/>
    <x v="59"/>
    <x v="0"/>
    <x v="0"/>
  </r>
  <r>
    <x v="12"/>
    <x v="15"/>
    <x v="55"/>
    <x v="33"/>
    <x v="49"/>
    <n v="1190"/>
    <x v="0"/>
    <x v="0"/>
    <x v="0"/>
  </r>
  <r>
    <x v="12"/>
    <x v="15"/>
    <x v="5"/>
    <x v="1"/>
    <x v="2"/>
    <m/>
    <x v="60"/>
    <x v="0"/>
    <x v="0"/>
  </r>
  <r>
    <x v="12"/>
    <x v="15"/>
    <x v="39"/>
    <x v="12"/>
    <x v="6"/>
    <n v="1675"/>
    <x v="0"/>
    <x v="0"/>
    <x v="0"/>
  </r>
  <r>
    <x v="12"/>
    <x v="15"/>
    <x v="49"/>
    <x v="28"/>
    <x v="38"/>
    <n v="1000"/>
    <x v="0"/>
    <x v="0"/>
    <x v="0"/>
  </r>
  <r>
    <x v="12"/>
    <x v="15"/>
    <x v="8"/>
    <x v="8"/>
    <x v="12"/>
    <n v="540"/>
    <x v="0"/>
    <x v="0"/>
    <x v="0"/>
  </r>
  <r>
    <x v="12"/>
    <x v="11"/>
    <x v="5"/>
    <x v="1"/>
    <x v="2"/>
    <m/>
    <x v="29"/>
    <x v="0"/>
    <x v="0"/>
  </r>
  <r>
    <x v="12"/>
    <x v="11"/>
    <x v="39"/>
    <x v="20"/>
    <x v="26"/>
    <n v="16500"/>
    <x v="0"/>
    <x v="0"/>
    <x v="0"/>
  </r>
  <r>
    <x v="12"/>
    <x v="11"/>
    <x v="52"/>
    <x v="3"/>
    <x v="5"/>
    <n v="5250"/>
    <x v="0"/>
    <x v="0"/>
    <x v="0"/>
  </r>
  <r>
    <x v="12"/>
    <x v="1"/>
    <x v="5"/>
    <x v="1"/>
    <x v="2"/>
    <m/>
    <x v="61"/>
    <x v="0"/>
    <x v="0"/>
  </r>
  <r>
    <x v="12"/>
    <x v="1"/>
    <x v="12"/>
    <x v="34"/>
    <x v="2"/>
    <n v="15265"/>
    <x v="0"/>
    <x v="0"/>
    <x v="0"/>
  </r>
  <r>
    <x v="12"/>
    <x v="1"/>
    <x v="39"/>
    <x v="4"/>
    <x v="40"/>
    <n v="6640"/>
    <x v="0"/>
    <x v="0"/>
    <x v="0"/>
  </r>
  <r>
    <x v="12"/>
    <x v="1"/>
    <x v="56"/>
    <x v="14"/>
    <x v="4"/>
    <n v="5175"/>
    <x v="0"/>
    <x v="0"/>
    <x v="0"/>
  </r>
  <r>
    <x v="12"/>
    <x v="1"/>
    <x v="7"/>
    <x v="3"/>
    <x v="4"/>
    <n v="3450"/>
    <x v="0"/>
    <x v="0"/>
    <x v="0"/>
  </r>
  <r>
    <x v="13"/>
    <x v="15"/>
    <x v="5"/>
    <x v="1"/>
    <x v="2"/>
    <m/>
    <x v="62"/>
    <x v="1"/>
    <x v="0"/>
  </r>
  <r>
    <x v="13"/>
    <x v="15"/>
    <x v="4"/>
    <x v="0"/>
    <x v="50"/>
    <n v="700"/>
    <x v="0"/>
    <x v="1"/>
    <x v="0"/>
  </r>
  <r>
    <x v="14"/>
    <x v="15"/>
    <x v="5"/>
    <x v="1"/>
    <x v="2"/>
    <m/>
    <x v="63"/>
    <x v="1"/>
    <x v="0"/>
  </r>
  <r>
    <x v="14"/>
    <x v="15"/>
    <x v="39"/>
    <x v="8"/>
    <x v="6"/>
    <n v="335"/>
    <x v="0"/>
    <x v="1"/>
    <x v="0"/>
  </r>
  <r>
    <x v="14"/>
    <x v="15"/>
    <x v="49"/>
    <x v="35"/>
    <x v="38"/>
    <n v="400"/>
    <x v="0"/>
    <x v="1"/>
    <x v="0"/>
  </r>
  <r>
    <x v="14"/>
    <x v="5"/>
    <x v="5"/>
    <x v="1"/>
    <x v="2"/>
    <m/>
    <x v="64"/>
    <x v="1"/>
    <x v="0"/>
  </r>
  <r>
    <x v="14"/>
    <x v="5"/>
    <x v="49"/>
    <x v="30"/>
    <x v="43"/>
    <n v="7600"/>
    <x v="0"/>
    <x v="1"/>
    <x v="0"/>
  </r>
  <r>
    <x v="14"/>
    <x v="5"/>
    <x v="39"/>
    <x v="3"/>
    <x v="26"/>
    <n v="3300"/>
    <x v="0"/>
    <x v="1"/>
    <x v="0"/>
  </r>
  <r>
    <x v="14"/>
    <x v="5"/>
    <x v="8"/>
    <x v="0"/>
    <x v="5"/>
    <n v="2100"/>
    <x v="0"/>
    <x v="1"/>
    <x v="0"/>
  </r>
  <r>
    <x v="14"/>
    <x v="5"/>
    <x v="24"/>
    <x v="9"/>
    <x v="16"/>
    <n v="1170"/>
    <x v="0"/>
    <x v="1"/>
    <x v="0"/>
  </r>
  <r>
    <x v="14"/>
    <x v="5"/>
    <x v="57"/>
    <x v="10"/>
    <x v="16"/>
    <n v="780"/>
    <x v="0"/>
    <x v="1"/>
    <x v="0"/>
  </r>
  <r>
    <x v="14"/>
    <x v="17"/>
    <x v="5"/>
    <x v="1"/>
    <x v="2"/>
    <m/>
    <x v="28"/>
    <x v="1"/>
    <x v="0"/>
  </r>
  <r>
    <x v="14"/>
    <x v="17"/>
    <x v="39"/>
    <x v="20"/>
    <x v="26"/>
    <n v="16500"/>
    <x v="0"/>
    <x v="1"/>
    <x v="0"/>
  </r>
  <r>
    <x v="15"/>
    <x v="16"/>
    <x v="5"/>
    <x v="1"/>
    <x v="2"/>
    <m/>
    <x v="20"/>
    <x v="1"/>
    <x v="0"/>
  </r>
  <r>
    <x v="15"/>
    <x v="16"/>
    <x v="39"/>
    <x v="3"/>
    <x v="26"/>
    <n v="3300"/>
    <x v="0"/>
    <x v="1"/>
    <x v="0"/>
  </r>
  <r>
    <x v="15"/>
    <x v="0"/>
    <x v="5"/>
    <x v="1"/>
    <x v="2"/>
    <m/>
    <x v="65"/>
    <x v="1"/>
    <x v="0"/>
  </r>
  <r>
    <x v="15"/>
    <x v="0"/>
    <x v="39"/>
    <x v="16"/>
    <x v="26"/>
    <n v="9900"/>
    <x v="0"/>
    <x v="1"/>
    <x v="0"/>
  </r>
  <r>
    <x v="15"/>
    <x v="0"/>
    <x v="49"/>
    <x v="30"/>
    <x v="43"/>
    <n v="7600"/>
    <x v="0"/>
    <x v="1"/>
    <x v="0"/>
  </r>
  <r>
    <x v="15"/>
    <x v="0"/>
    <x v="23"/>
    <x v="0"/>
    <x v="29"/>
    <n v="1960"/>
    <x v="0"/>
    <x v="1"/>
    <x v="0"/>
  </r>
  <r>
    <x v="15"/>
    <x v="0"/>
    <x v="25"/>
    <x v="9"/>
    <x v="19"/>
    <n v="2040"/>
    <x v="0"/>
    <x v="1"/>
    <x v="0"/>
  </r>
  <r>
    <x v="15"/>
    <x v="0"/>
    <x v="22"/>
    <x v="10"/>
    <x v="32"/>
    <n v="1040"/>
    <x v="0"/>
    <x v="1"/>
    <x v="0"/>
  </r>
  <r>
    <x v="15"/>
    <x v="0"/>
    <x v="58"/>
    <x v="3"/>
    <x v="51"/>
    <n v="2150"/>
    <x v="0"/>
    <x v="1"/>
    <x v="0"/>
  </r>
  <r>
    <x v="15"/>
    <x v="0"/>
    <x v="59"/>
    <x v="9"/>
    <x v="52"/>
    <n v="1530"/>
    <x v="0"/>
    <x v="1"/>
    <x v="0"/>
  </r>
  <r>
    <x v="15"/>
    <x v="15"/>
    <x v="5"/>
    <x v="1"/>
    <x v="2"/>
    <m/>
    <x v="66"/>
    <x v="1"/>
    <x v="0"/>
  </r>
  <r>
    <x v="15"/>
    <x v="15"/>
    <x v="39"/>
    <x v="8"/>
    <x v="6"/>
    <n v="335"/>
    <x v="0"/>
    <x v="1"/>
    <x v="0"/>
  </r>
  <r>
    <x v="15"/>
    <x v="15"/>
    <x v="59"/>
    <x v="8"/>
    <x v="52"/>
    <n v="510"/>
    <x v="0"/>
    <x v="1"/>
    <x v="0"/>
  </r>
  <r>
    <x v="15"/>
    <x v="15"/>
    <x v="9"/>
    <x v="8"/>
    <x v="39"/>
    <n v="350"/>
    <x v="0"/>
    <x v="1"/>
    <x v="0"/>
  </r>
  <r>
    <x v="15"/>
    <x v="15"/>
    <x v="49"/>
    <x v="22"/>
    <x v="38"/>
    <n v="200"/>
    <x v="0"/>
    <x v="1"/>
    <x v="0"/>
  </r>
  <r>
    <x v="15"/>
    <x v="15"/>
    <x v="58"/>
    <x v="8"/>
    <x v="51"/>
    <n v="215"/>
    <x v="0"/>
    <x v="1"/>
    <x v="0"/>
  </r>
  <r>
    <x v="15"/>
    <x v="1"/>
    <x v="5"/>
    <x v="1"/>
    <x v="2"/>
    <m/>
    <x v="67"/>
    <x v="1"/>
    <x v="0"/>
  </r>
  <r>
    <x v="15"/>
    <x v="1"/>
    <x v="60"/>
    <x v="4"/>
    <x v="53"/>
    <n v="5300"/>
    <x v="0"/>
    <x v="1"/>
    <x v="0"/>
  </r>
  <r>
    <x v="15"/>
    <x v="1"/>
    <x v="7"/>
    <x v="3"/>
    <x v="4"/>
    <n v="3450"/>
    <x v="0"/>
    <x v="1"/>
    <x v="0"/>
  </r>
  <r>
    <x v="15"/>
    <x v="1"/>
    <x v="9"/>
    <x v="3"/>
    <x v="4"/>
    <n v="3450"/>
    <x v="0"/>
    <x v="1"/>
    <x v="0"/>
  </r>
  <r>
    <x v="16"/>
    <x v="2"/>
    <x v="5"/>
    <x v="1"/>
    <x v="2"/>
    <m/>
    <x v="68"/>
    <x v="1"/>
    <x v="0"/>
  </r>
  <r>
    <x v="16"/>
    <x v="2"/>
    <x v="12"/>
    <x v="36"/>
    <x v="7"/>
    <n v="740"/>
    <x v="0"/>
    <x v="1"/>
    <x v="0"/>
  </r>
  <r>
    <x v="16"/>
    <x v="2"/>
    <x v="21"/>
    <x v="8"/>
    <x v="13"/>
    <n v="740"/>
    <x v="0"/>
    <x v="1"/>
    <x v="0"/>
  </r>
  <r>
    <x v="16"/>
    <x v="15"/>
    <x v="5"/>
    <x v="1"/>
    <x v="2"/>
    <m/>
    <x v="69"/>
    <x v="1"/>
    <x v="0"/>
  </r>
  <r>
    <x v="16"/>
    <x v="15"/>
    <x v="39"/>
    <x v="37"/>
    <x v="26"/>
    <n v="3630"/>
    <x v="0"/>
    <x v="1"/>
    <x v="0"/>
  </r>
  <r>
    <x v="16"/>
    <x v="15"/>
    <x v="5"/>
    <x v="1"/>
    <x v="2"/>
    <m/>
    <x v="70"/>
    <x v="1"/>
    <x v="0"/>
  </r>
  <r>
    <x v="16"/>
    <x v="15"/>
    <x v="58"/>
    <x v="8"/>
    <x v="51"/>
    <n v="215"/>
    <x v="0"/>
    <x v="1"/>
    <x v="0"/>
  </r>
  <r>
    <x v="16"/>
    <x v="15"/>
    <x v="49"/>
    <x v="35"/>
    <x v="44"/>
    <n v="390"/>
    <x v="0"/>
    <x v="1"/>
    <x v="0"/>
  </r>
  <r>
    <x v="16"/>
    <x v="15"/>
    <x v="39"/>
    <x v="8"/>
    <x v="6"/>
    <n v="335"/>
    <x v="0"/>
    <x v="1"/>
    <x v="0"/>
  </r>
  <r>
    <x v="16"/>
    <x v="15"/>
    <x v="6"/>
    <x v="8"/>
    <x v="3"/>
    <n v="420"/>
    <x v="0"/>
    <x v="1"/>
    <x v="0"/>
  </r>
  <r>
    <x v="16"/>
    <x v="15"/>
    <x v="39"/>
    <x v="8"/>
    <x v="26"/>
    <n v="330"/>
    <x v="0"/>
    <x v="1"/>
    <x v="0"/>
  </r>
  <r>
    <x v="16"/>
    <x v="21"/>
    <x v="5"/>
    <x v="1"/>
    <x v="2"/>
    <m/>
    <x v="71"/>
    <x v="1"/>
    <x v="0"/>
  </r>
  <r>
    <x v="16"/>
    <x v="21"/>
    <x v="49"/>
    <x v="26"/>
    <x v="44"/>
    <n v="5850"/>
    <x v="0"/>
    <x v="1"/>
    <x v="0"/>
  </r>
  <r>
    <x v="16"/>
    <x v="21"/>
    <x v="39"/>
    <x v="3"/>
    <x v="26"/>
    <n v="3300"/>
    <x v="0"/>
    <x v="1"/>
    <x v="0"/>
  </r>
  <r>
    <x v="16"/>
    <x v="21"/>
    <x v="8"/>
    <x v="12"/>
    <x v="12"/>
    <n v="2700"/>
    <x v="0"/>
    <x v="1"/>
    <x v="0"/>
  </r>
  <r>
    <x v="16"/>
    <x v="24"/>
    <x v="5"/>
    <x v="1"/>
    <x v="2"/>
    <m/>
    <x v="72"/>
    <x v="1"/>
    <x v="0"/>
  </r>
  <r>
    <x v="16"/>
    <x v="24"/>
    <x v="7"/>
    <x v="3"/>
    <x v="18"/>
    <n v="3420"/>
    <x v="0"/>
    <x v="1"/>
    <x v="0"/>
  </r>
  <r>
    <x v="17"/>
    <x v="15"/>
    <x v="5"/>
    <x v="1"/>
    <x v="2"/>
    <m/>
    <x v="73"/>
    <x v="1"/>
    <x v="0"/>
  </r>
  <r>
    <x v="17"/>
    <x v="15"/>
    <x v="8"/>
    <x v="12"/>
    <x v="54"/>
    <n v="2610"/>
    <x v="0"/>
    <x v="1"/>
    <x v="0"/>
  </r>
  <r>
    <x v="17"/>
    <x v="15"/>
    <x v="10"/>
    <x v="8"/>
    <x v="11"/>
    <n v="550"/>
    <x v="0"/>
    <x v="1"/>
    <x v="0"/>
  </r>
  <r>
    <x v="17"/>
    <x v="15"/>
    <x v="1"/>
    <x v="8"/>
    <x v="23"/>
    <n v="650"/>
    <x v="0"/>
    <x v="1"/>
    <x v="0"/>
  </r>
  <r>
    <x v="17"/>
    <x v="15"/>
    <x v="6"/>
    <x v="10"/>
    <x v="14"/>
    <n v="1000"/>
    <x v="0"/>
    <x v="1"/>
    <x v="0"/>
  </r>
  <r>
    <x v="17"/>
    <x v="15"/>
    <x v="5"/>
    <x v="1"/>
    <x v="2"/>
    <m/>
    <x v="74"/>
    <x v="1"/>
    <x v="0"/>
  </r>
  <r>
    <x v="17"/>
    <x v="15"/>
    <x v="39"/>
    <x v="12"/>
    <x v="26"/>
    <n v="1650"/>
    <x v="0"/>
    <x v="1"/>
    <x v="0"/>
  </r>
  <r>
    <x v="17"/>
    <x v="12"/>
    <x v="5"/>
    <x v="1"/>
    <x v="2"/>
    <m/>
    <x v="75"/>
    <x v="1"/>
    <x v="0"/>
  </r>
  <r>
    <x v="17"/>
    <x v="12"/>
    <x v="39"/>
    <x v="4"/>
    <x v="26"/>
    <n v="6600"/>
    <x v="0"/>
    <x v="1"/>
    <x v="0"/>
  </r>
  <r>
    <x v="17"/>
    <x v="12"/>
    <x v="49"/>
    <x v="38"/>
    <x v="43"/>
    <n v="3800"/>
    <x v="0"/>
    <x v="1"/>
    <x v="0"/>
  </r>
  <r>
    <x v="17"/>
    <x v="12"/>
    <x v="59"/>
    <x v="10"/>
    <x v="14"/>
    <n v="1000"/>
    <x v="0"/>
    <x v="1"/>
    <x v="0"/>
  </r>
  <r>
    <x v="17"/>
    <x v="12"/>
    <x v="46"/>
    <x v="2"/>
    <x v="55"/>
    <n v="1515"/>
    <x v="0"/>
    <x v="1"/>
    <x v="0"/>
  </r>
  <r>
    <x v="17"/>
    <x v="12"/>
    <x v="61"/>
    <x v="12"/>
    <x v="56"/>
    <n v="2825"/>
    <x v="0"/>
    <x v="1"/>
    <x v="0"/>
  </r>
  <r>
    <x v="17"/>
    <x v="13"/>
    <x v="5"/>
    <x v="1"/>
    <x v="2"/>
    <m/>
    <x v="76"/>
    <x v="1"/>
    <x v="0"/>
  </r>
  <r>
    <x v="17"/>
    <x v="13"/>
    <x v="9"/>
    <x v="10"/>
    <x v="4"/>
    <n v="690"/>
    <x v="0"/>
    <x v="1"/>
    <x v="0"/>
  </r>
  <r>
    <x v="18"/>
    <x v="17"/>
    <x v="5"/>
    <x v="1"/>
    <x v="2"/>
    <m/>
    <x v="46"/>
    <x v="1"/>
    <x v="0"/>
  </r>
  <r>
    <x v="18"/>
    <x v="17"/>
    <x v="39"/>
    <x v="14"/>
    <x v="26"/>
    <n v="4950"/>
    <x v="0"/>
    <x v="1"/>
    <x v="0"/>
  </r>
  <r>
    <x v="18"/>
    <x v="5"/>
    <x v="5"/>
    <x v="1"/>
    <x v="2"/>
    <m/>
    <x v="77"/>
    <x v="1"/>
    <x v="0"/>
  </r>
  <r>
    <x v="18"/>
    <x v="5"/>
    <x v="4"/>
    <x v="8"/>
    <x v="50"/>
    <m/>
    <x v="0"/>
    <x v="1"/>
    <x v="0"/>
  </r>
  <r>
    <x v="18"/>
    <x v="5"/>
    <x v="49"/>
    <x v="30"/>
    <x v="43"/>
    <n v="7600"/>
    <x v="0"/>
    <x v="1"/>
    <x v="0"/>
  </r>
  <r>
    <x v="18"/>
    <x v="5"/>
    <x v="58"/>
    <x v="31"/>
    <x v="51"/>
    <n v="2795"/>
    <x v="0"/>
    <x v="1"/>
    <x v="0"/>
  </r>
  <r>
    <x v="18"/>
    <x v="5"/>
    <x v="7"/>
    <x v="9"/>
    <x v="18"/>
    <n v="1026"/>
    <x v="0"/>
    <x v="1"/>
    <x v="0"/>
  </r>
  <r>
    <x v="18"/>
    <x v="5"/>
    <x v="9"/>
    <x v="9"/>
    <x v="18"/>
    <n v="1026"/>
    <x v="0"/>
    <x v="1"/>
    <x v="0"/>
  </r>
  <r>
    <x v="18"/>
    <x v="5"/>
    <x v="39"/>
    <x v="12"/>
    <x v="26"/>
    <n v="1650"/>
    <x v="0"/>
    <x v="1"/>
    <x v="0"/>
  </r>
  <r>
    <x v="18"/>
    <x v="5"/>
    <x v="59"/>
    <x v="10"/>
    <x v="14"/>
    <n v="1000"/>
    <x v="0"/>
    <x v="1"/>
    <x v="0"/>
  </r>
  <r>
    <x v="18"/>
    <x v="5"/>
    <x v="22"/>
    <x v="10"/>
    <x v="14"/>
    <n v="1000"/>
    <x v="0"/>
    <x v="1"/>
    <x v="0"/>
  </r>
  <r>
    <x v="18"/>
    <x v="5"/>
    <x v="8"/>
    <x v="0"/>
    <x v="5"/>
    <n v="2100"/>
    <x v="0"/>
    <x v="1"/>
    <x v="0"/>
  </r>
  <r>
    <x v="18"/>
    <x v="5"/>
    <x v="17"/>
    <x v="10"/>
    <x v="8"/>
    <n v="1500"/>
    <x v="0"/>
    <x v="1"/>
    <x v="0"/>
  </r>
  <r>
    <x v="18"/>
    <x v="5"/>
    <x v="30"/>
    <x v="9"/>
    <x v="12"/>
    <n v="1620"/>
    <x v="0"/>
    <x v="1"/>
    <x v="0"/>
  </r>
  <r>
    <x v="19"/>
    <x v="15"/>
    <x v="5"/>
    <x v="1"/>
    <x v="2"/>
    <m/>
    <x v="78"/>
    <x v="1"/>
    <x v="0"/>
  </r>
  <r>
    <x v="19"/>
    <x v="15"/>
    <x v="1"/>
    <x v="8"/>
    <x v="23"/>
    <n v="650"/>
    <x v="0"/>
    <x v="1"/>
    <x v="0"/>
  </r>
  <r>
    <x v="19"/>
    <x v="15"/>
    <x v="49"/>
    <x v="22"/>
    <x v="38"/>
    <n v="200"/>
    <x v="0"/>
    <x v="1"/>
    <x v="0"/>
  </r>
  <r>
    <x v="19"/>
    <x v="0"/>
    <x v="5"/>
    <x v="1"/>
    <x v="2"/>
    <m/>
    <x v="79"/>
    <x v="1"/>
    <x v="0"/>
  </r>
  <r>
    <x v="19"/>
    <x v="0"/>
    <x v="58"/>
    <x v="14"/>
    <x v="57"/>
    <n v="3150"/>
    <x v="0"/>
    <x v="1"/>
    <x v="0"/>
  </r>
  <r>
    <x v="19"/>
    <x v="0"/>
    <x v="49"/>
    <x v="26"/>
    <x v="43"/>
    <n v="5700"/>
    <x v="0"/>
    <x v="1"/>
    <x v="0"/>
  </r>
  <r>
    <x v="19"/>
    <x v="0"/>
    <x v="58"/>
    <x v="39"/>
    <x v="57"/>
    <n v="5250"/>
    <x v="0"/>
    <x v="1"/>
    <x v="0"/>
  </r>
  <r>
    <x v="19"/>
    <x v="1"/>
    <x v="5"/>
    <x v="1"/>
    <x v="2"/>
    <m/>
    <x v="80"/>
    <x v="1"/>
    <x v="0"/>
  </r>
  <r>
    <x v="19"/>
    <x v="1"/>
    <x v="39"/>
    <x v="16"/>
    <x v="26"/>
    <n v="9900"/>
    <x v="0"/>
    <x v="1"/>
    <x v="0"/>
  </r>
  <r>
    <x v="19"/>
    <x v="1"/>
    <x v="7"/>
    <x v="4"/>
    <x v="4"/>
    <n v="6900"/>
    <x v="0"/>
    <x v="1"/>
    <x v="0"/>
  </r>
  <r>
    <x v="19"/>
    <x v="1"/>
    <x v="9"/>
    <x v="3"/>
    <x v="4"/>
    <n v="3450"/>
    <x v="0"/>
    <x v="1"/>
    <x v="0"/>
  </r>
  <r>
    <x v="20"/>
    <x v="15"/>
    <x v="5"/>
    <x v="1"/>
    <x v="2"/>
    <m/>
    <x v="81"/>
    <x v="1"/>
    <x v="0"/>
  </r>
  <r>
    <x v="20"/>
    <x v="15"/>
    <x v="49"/>
    <x v="40"/>
    <x v="43"/>
    <n v="9500"/>
    <x v="0"/>
    <x v="1"/>
    <x v="0"/>
  </r>
  <r>
    <x v="20"/>
    <x v="15"/>
    <x v="39"/>
    <x v="3"/>
    <x v="26"/>
    <n v="3300"/>
    <x v="0"/>
    <x v="1"/>
    <x v="0"/>
  </r>
  <r>
    <x v="21"/>
    <x v="15"/>
    <x v="5"/>
    <x v="1"/>
    <x v="2"/>
    <m/>
    <x v="82"/>
    <x v="1"/>
    <x v="0"/>
  </r>
  <r>
    <x v="21"/>
    <x v="15"/>
    <x v="39"/>
    <x v="9"/>
    <x v="58"/>
    <n v="1000"/>
    <x v="0"/>
    <x v="1"/>
    <x v="0"/>
  </r>
  <r>
    <x v="21"/>
    <x v="17"/>
    <x v="5"/>
    <x v="1"/>
    <x v="2"/>
    <m/>
    <x v="83"/>
    <x v="1"/>
    <x v="0"/>
  </r>
  <r>
    <x v="21"/>
    <x v="17"/>
    <x v="39"/>
    <x v="39"/>
    <x v="26"/>
    <n v="8250"/>
    <x v="0"/>
    <x v="1"/>
    <x v="0"/>
  </r>
  <r>
    <x v="21"/>
    <x v="17"/>
    <x v="39"/>
    <x v="17"/>
    <x v="26"/>
    <n v="13200"/>
    <x v="0"/>
    <x v="1"/>
    <x v="0"/>
  </r>
  <r>
    <x v="21"/>
    <x v="16"/>
    <x v="5"/>
    <x v="1"/>
    <x v="2"/>
    <m/>
    <x v="74"/>
    <x v="1"/>
    <x v="0"/>
  </r>
  <r>
    <x v="21"/>
    <x v="16"/>
    <x v="39"/>
    <x v="12"/>
    <x v="26"/>
    <n v="1650"/>
    <x v="0"/>
    <x v="1"/>
    <x v="0"/>
  </r>
  <r>
    <x v="22"/>
    <x v="15"/>
    <x v="5"/>
    <x v="1"/>
    <x v="2"/>
    <m/>
    <x v="84"/>
    <x v="2"/>
    <x v="0"/>
  </r>
  <r>
    <x v="22"/>
    <x v="15"/>
    <x v="62"/>
    <x v="3"/>
    <x v="59"/>
    <n v="2780"/>
    <x v="0"/>
    <x v="2"/>
    <x v="0"/>
  </r>
  <r>
    <x v="23"/>
    <x v="17"/>
    <x v="5"/>
    <x v="1"/>
    <x v="2"/>
    <m/>
    <x v="20"/>
    <x v="2"/>
    <x v="0"/>
  </r>
  <r>
    <x v="23"/>
    <x v="17"/>
    <x v="39"/>
    <x v="3"/>
    <x v="26"/>
    <n v="3300"/>
    <x v="0"/>
    <x v="2"/>
    <x v="0"/>
  </r>
  <r>
    <x v="23"/>
    <x v="5"/>
    <x v="5"/>
    <x v="1"/>
    <x v="2"/>
    <m/>
    <x v="85"/>
    <x v="2"/>
    <x v="0"/>
  </r>
  <r>
    <x v="23"/>
    <x v="5"/>
    <x v="49"/>
    <x v="30"/>
    <x v="43"/>
    <n v="7600"/>
    <x v="0"/>
    <x v="2"/>
    <x v="0"/>
  </r>
  <r>
    <x v="23"/>
    <x v="5"/>
    <x v="58"/>
    <x v="12"/>
    <x v="51"/>
    <n v="1075"/>
    <x v="0"/>
    <x v="2"/>
    <x v="0"/>
  </r>
  <r>
    <x v="23"/>
    <x v="5"/>
    <x v="59"/>
    <x v="10"/>
    <x v="14"/>
    <n v="1000"/>
    <x v="0"/>
    <x v="2"/>
    <x v="0"/>
  </r>
  <r>
    <x v="23"/>
    <x v="5"/>
    <x v="8"/>
    <x v="9"/>
    <x v="5"/>
    <n v="1575"/>
    <x v="0"/>
    <x v="2"/>
    <x v="0"/>
  </r>
  <r>
    <x v="24"/>
    <x v="24"/>
    <x v="5"/>
    <x v="1"/>
    <x v="2"/>
    <m/>
    <x v="20"/>
    <x v="2"/>
    <x v="0"/>
  </r>
  <r>
    <x v="24"/>
    <x v="24"/>
    <x v="39"/>
    <x v="3"/>
    <x v="26"/>
    <n v="3300"/>
    <x v="0"/>
    <x v="2"/>
    <x v="0"/>
  </r>
  <r>
    <x v="24"/>
    <x v="15"/>
    <x v="5"/>
    <x v="1"/>
    <x v="2"/>
    <m/>
    <x v="86"/>
    <x v="2"/>
    <x v="0"/>
  </r>
  <r>
    <x v="24"/>
    <x v="15"/>
    <x v="26"/>
    <x v="8"/>
    <x v="11"/>
    <n v="550"/>
    <x v="0"/>
    <x v="2"/>
    <x v="0"/>
  </r>
  <r>
    <x v="24"/>
    <x v="15"/>
    <x v="27"/>
    <x v="8"/>
    <x v="11"/>
    <n v="550"/>
    <x v="0"/>
    <x v="2"/>
    <x v="0"/>
  </r>
  <r>
    <x v="24"/>
    <x v="15"/>
    <x v="22"/>
    <x v="8"/>
    <x v="32"/>
    <n v="520"/>
    <x v="0"/>
    <x v="2"/>
    <x v="0"/>
  </r>
  <r>
    <x v="24"/>
    <x v="15"/>
    <x v="55"/>
    <x v="9"/>
    <x v="60"/>
    <n v="500"/>
    <x v="0"/>
    <x v="2"/>
    <x v="0"/>
  </r>
  <r>
    <x v="24"/>
    <x v="12"/>
    <x v="5"/>
    <x v="1"/>
    <x v="2"/>
    <m/>
    <x v="87"/>
    <x v="2"/>
    <x v="0"/>
  </r>
  <r>
    <x v="24"/>
    <x v="12"/>
    <x v="49"/>
    <x v="38"/>
    <x v="43"/>
    <n v="3800"/>
    <x v="0"/>
    <x v="2"/>
    <x v="0"/>
  </r>
  <r>
    <x v="25"/>
    <x v="15"/>
    <x v="5"/>
    <x v="1"/>
    <x v="2"/>
    <m/>
    <x v="88"/>
    <x v="2"/>
    <x v="0"/>
  </r>
  <r>
    <x v="25"/>
    <x v="15"/>
    <x v="63"/>
    <x v="8"/>
    <x v="61"/>
    <n v="765"/>
    <x v="0"/>
    <x v="2"/>
    <x v="0"/>
  </r>
  <r>
    <x v="25"/>
    <x v="15"/>
    <x v="18"/>
    <x v="8"/>
    <x v="62"/>
    <n v="615"/>
    <x v="0"/>
    <x v="2"/>
    <x v="0"/>
  </r>
  <r>
    <x v="25"/>
    <x v="15"/>
    <x v="7"/>
    <x v="8"/>
    <x v="39"/>
    <n v="350"/>
    <x v="0"/>
    <x v="2"/>
    <x v="0"/>
  </r>
  <r>
    <x v="25"/>
    <x v="15"/>
    <x v="39"/>
    <x v="8"/>
    <x v="26"/>
    <n v="330"/>
    <x v="0"/>
    <x v="2"/>
    <x v="0"/>
  </r>
  <r>
    <x v="25"/>
    <x v="15"/>
    <x v="49"/>
    <x v="35"/>
    <x v="43"/>
    <n v="380"/>
    <x v="0"/>
    <x v="2"/>
    <x v="0"/>
  </r>
  <r>
    <x v="25"/>
    <x v="15"/>
    <x v="7"/>
    <x v="9"/>
    <x v="39"/>
    <n v="1050"/>
    <x v="0"/>
    <x v="2"/>
    <x v="0"/>
  </r>
  <r>
    <x v="25"/>
    <x v="15"/>
    <x v="39"/>
    <x v="8"/>
    <x v="34"/>
    <n v="340"/>
    <x v="0"/>
    <x v="2"/>
    <x v="0"/>
  </r>
  <r>
    <x v="25"/>
    <x v="15"/>
    <x v="49"/>
    <x v="35"/>
    <x v="44"/>
    <n v="390"/>
    <x v="0"/>
    <x v="2"/>
    <x v="0"/>
  </r>
  <r>
    <x v="25"/>
    <x v="15"/>
    <x v="39"/>
    <x v="8"/>
    <x v="34"/>
    <n v="340"/>
    <x v="0"/>
    <x v="2"/>
    <x v="0"/>
  </r>
  <r>
    <x v="25"/>
    <x v="15"/>
    <x v="49"/>
    <x v="35"/>
    <x v="44"/>
    <n v="390"/>
    <x v="0"/>
    <x v="2"/>
    <x v="0"/>
  </r>
  <r>
    <x v="25"/>
    <x v="27"/>
    <x v="5"/>
    <x v="1"/>
    <x v="2"/>
    <m/>
    <x v="0"/>
    <x v="2"/>
    <x v="0"/>
  </r>
  <r>
    <x v="26"/>
    <x v="17"/>
    <x v="5"/>
    <x v="1"/>
    <x v="2"/>
    <m/>
    <x v="89"/>
    <x v="2"/>
    <x v="0"/>
  </r>
  <r>
    <x v="26"/>
    <x v="17"/>
    <x v="39"/>
    <x v="11"/>
    <x v="26"/>
    <n v="1980"/>
    <x v="0"/>
    <x v="2"/>
    <x v="0"/>
  </r>
  <r>
    <x v="26"/>
    <x v="28"/>
    <x v="5"/>
    <x v="1"/>
    <x v="2"/>
    <m/>
    <x v="90"/>
    <x v="2"/>
    <x v="0"/>
  </r>
  <r>
    <x v="26"/>
    <x v="28"/>
    <x v="7"/>
    <x v="3"/>
    <x v="4"/>
    <n v="3450"/>
    <x v="0"/>
    <x v="2"/>
    <x v="0"/>
  </r>
  <r>
    <x v="26"/>
    <x v="28"/>
    <x v="39"/>
    <x v="3"/>
    <x v="26"/>
    <n v="3300"/>
    <x v="0"/>
    <x v="2"/>
    <x v="0"/>
  </r>
  <r>
    <x v="26"/>
    <x v="1"/>
    <x v="5"/>
    <x v="1"/>
    <x v="2"/>
    <m/>
    <x v="91"/>
    <x v="2"/>
    <x v="0"/>
  </r>
  <r>
    <x v="26"/>
    <x v="1"/>
    <x v="39"/>
    <x v="4"/>
    <x v="26"/>
    <n v="6600"/>
    <x v="0"/>
    <x v="2"/>
    <x v="0"/>
  </r>
  <r>
    <x v="26"/>
    <x v="4"/>
    <x v="5"/>
    <x v="1"/>
    <x v="2"/>
    <m/>
    <x v="92"/>
    <x v="2"/>
    <x v="0"/>
  </r>
  <r>
    <x v="26"/>
    <x v="4"/>
    <x v="39"/>
    <x v="2"/>
    <x v="26"/>
    <n v="3960"/>
    <x v="0"/>
    <x v="2"/>
    <x v="0"/>
  </r>
  <r>
    <x v="26"/>
    <x v="4"/>
    <x v="49"/>
    <x v="40"/>
    <x v="63"/>
    <n v="9600"/>
    <x v="0"/>
    <x v="2"/>
    <x v="0"/>
  </r>
  <r>
    <x v="26"/>
    <x v="4"/>
    <x v="59"/>
    <x v="10"/>
    <x v="14"/>
    <n v="1000"/>
    <x v="0"/>
    <x v="2"/>
    <x v="0"/>
  </r>
  <r>
    <x v="26"/>
    <x v="12"/>
    <x v="5"/>
    <x v="1"/>
    <x v="2"/>
    <m/>
    <x v="87"/>
    <x v="2"/>
    <x v="0"/>
  </r>
  <r>
    <x v="26"/>
    <x v="12"/>
    <x v="49"/>
    <x v="38"/>
    <x v="43"/>
    <n v="3800"/>
    <x v="0"/>
    <x v="2"/>
    <x v="0"/>
  </r>
  <r>
    <x v="26"/>
    <x v="1"/>
    <x v="5"/>
    <x v="1"/>
    <x v="2"/>
    <m/>
    <x v="93"/>
    <x v="2"/>
    <x v="0"/>
  </r>
  <r>
    <x v="26"/>
    <x v="1"/>
    <x v="12"/>
    <x v="41"/>
    <x v="2"/>
    <n v="1725"/>
    <x v="0"/>
    <x v="2"/>
    <x v="0"/>
  </r>
  <r>
    <x v="26"/>
    <x v="1"/>
    <x v="7"/>
    <x v="12"/>
    <x v="4"/>
    <n v="1725"/>
    <x v="0"/>
    <x v="2"/>
    <x v="0"/>
  </r>
  <r>
    <x v="27"/>
    <x v="15"/>
    <x v="5"/>
    <x v="1"/>
    <x v="2"/>
    <m/>
    <x v="94"/>
    <x v="2"/>
    <x v="0"/>
  </r>
  <r>
    <x v="27"/>
    <x v="15"/>
    <x v="49"/>
    <x v="42"/>
    <x v="44"/>
    <n v="585"/>
    <x v="0"/>
    <x v="2"/>
    <x v="0"/>
  </r>
  <r>
    <x v="27"/>
    <x v="15"/>
    <x v="64"/>
    <x v="8"/>
    <x v="31"/>
    <n v="780"/>
    <x v="0"/>
    <x v="2"/>
    <x v="0"/>
  </r>
  <r>
    <x v="27"/>
    <x v="15"/>
    <x v="65"/>
    <x v="8"/>
    <x v="64"/>
    <n v="160"/>
    <x v="0"/>
    <x v="2"/>
    <x v="0"/>
  </r>
  <r>
    <x v="27"/>
    <x v="15"/>
    <x v="6"/>
    <x v="11"/>
    <x v="3"/>
    <n v="2520"/>
    <x v="0"/>
    <x v="2"/>
    <x v="0"/>
  </r>
  <r>
    <x v="27"/>
    <x v="8"/>
    <x v="5"/>
    <x v="1"/>
    <x v="2"/>
    <m/>
    <x v="95"/>
    <x v="2"/>
    <x v="0"/>
  </r>
  <r>
    <x v="28"/>
    <x v="4"/>
    <x v="5"/>
    <x v="1"/>
    <x v="2"/>
    <m/>
    <x v="96"/>
    <x v="2"/>
    <x v="0"/>
  </r>
  <r>
    <x v="28"/>
    <x v="4"/>
    <x v="7"/>
    <x v="10"/>
    <x v="39"/>
    <n v="700"/>
    <x v="0"/>
    <x v="2"/>
    <x v="0"/>
  </r>
  <r>
    <x v="28"/>
    <x v="4"/>
    <x v="9"/>
    <x v="10"/>
    <x v="39"/>
    <n v="700"/>
    <x v="0"/>
    <x v="2"/>
    <x v="0"/>
  </r>
  <r>
    <x v="28"/>
    <x v="4"/>
    <x v="49"/>
    <x v="43"/>
    <x v="43"/>
    <n v="1900"/>
    <x v="0"/>
    <x v="2"/>
    <x v="0"/>
  </r>
  <r>
    <x v="28"/>
    <x v="4"/>
    <x v="10"/>
    <x v="8"/>
    <x v="65"/>
    <n v="545"/>
    <x v="0"/>
    <x v="2"/>
    <x v="0"/>
  </r>
  <r>
    <x v="28"/>
    <x v="4"/>
    <x v="58"/>
    <x v="0"/>
    <x v="45"/>
    <n v="880"/>
    <x v="0"/>
    <x v="2"/>
    <x v="0"/>
  </r>
  <r>
    <x v="28"/>
    <x v="4"/>
    <x v="26"/>
    <x v="8"/>
    <x v="12"/>
    <n v="540"/>
    <x v="0"/>
    <x v="2"/>
    <x v="0"/>
  </r>
  <r>
    <x v="28"/>
    <x v="4"/>
    <x v="5"/>
    <x v="1"/>
    <x v="2"/>
    <m/>
    <x v="97"/>
    <x v="2"/>
    <x v="0"/>
  </r>
  <r>
    <x v="28"/>
    <x v="4"/>
    <x v="63"/>
    <x v="8"/>
    <x v="66"/>
    <n v="790"/>
    <x v="0"/>
    <x v="2"/>
    <x v="0"/>
  </r>
  <r>
    <x v="28"/>
    <x v="4"/>
    <x v="5"/>
    <x v="1"/>
    <x v="2"/>
    <m/>
    <x v="98"/>
    <x v="2"/>
    <x v="0"/>
  </r>
  <r>
    <x v="28"/>
    <x v="4"/>
    <x v="39"/>
    <x v="20"/>
    <x v="40"/>
    <n v="16600"/>
    <x v="0"/>
    <x v="2"/>
    <x v="0"/>
  </r>
  <r>
    <x v="28"/>
    <x v="4"/>
    <x v="59"/>
    <x v="10"/>
    <x v="32"/>
    <n v="1040"/>
    <x v="0"/>
    <x v="2"/>
    <x v="0"/>
  </r>
  <r>
    <x v="28"/>
    <x v="4"/>
    <x v="58"/>
    <x v="11"/>
    <x v="51"/>
    <n v="1290"/>
    <x v="0"/>
    <x v="2"/>
    <x v="0"/>
  </r>
  <r>
    <x v="28"/>
    <x v="4"/>
    <x v="9"/>
    <x v="9"/>
    <x v="67"/>
    <n v="1044"/>
    <x v="0"/>
    <x v="2"/>
    <x v="0"/>
  </r>
  <r>
    <x v="28"/>
    <x v="4"/>
    <x v="43"/>
    <x v="10"/>
    <x v="68"/>
    <n v="640"/>
    <x v="0"/>
    <x v="2"/>
    <x v="0"/>
  </r>
  <r>
    <x v="28"/>
    <x v="4"/>
    <x v="26"/>
    <x v="9"/>
    <x v="69"/>
    <n v="2025"/>
    <x v="0"/>
    <x v="2"/>
    <x v="0"/>
  </r>
  <r>
    <x v="28"/>
    <x v="4"/>
    <x v="31"/>
    <x v="11"/>
    <x v="21"/>
    <n v="1296"/>
    <x v="0"/>
    <x v="2"/>
    <x v="0"/>
  </r>
  <r>
    <x v="28"/>
    <x v="4"/>
    <x v="20"/>
    <x v="10"/>
    <x v="30"/>
    <n v="1070"/>
    <x v="0"/>
    <x v="2"/>
    <x v="0"/>
  </r>
  <r>
    <x v="28"/>
    <x v="4"/>
    <x v="57"/>
    <x v="8"/>
    <x v="70"/>
    <n v="395"/>
    <x v="0"/>
    <x v="2"/>
    <x v="0"/>
  </r>
  <r>
    <x v="28"/>
    <x v="4"/>
    <x v="49"/>
    <x v="28"/>
    <x v="43"/>
    <n v="950"/>
    <x v="0"/>
    <x v="2"/>
    <x v="0"/>
  </r>
  <r>
    <x v="28"/>
    <x v="8"/>
    <x v="5"/>
    <x v="1"/>
    <x v="2"/>
    <m/>
    <x v="99"/>
    <x v="2"/>
    <x v="0"/>
  </r>
  <r>
    <x v="28"/>
    <x v="4"/>
    <x v="5"/>
    <x v="1"/>
    <x v="2"/>
    <m/>
    <x v="74"/>
    <x v="2"/>
    <x v="0"/>
  </r>
  <r>
    <x v="28"/>
    <x v="4"/>
    <x v="63"/>
    <x v="8"/>
    <x v="66"/>
    <n v="790"/>
    <x v="0"/>
    <x v="2"/>
    <x v="0"/>
  </r>
  <r>
    <x v="28"/>
    <x v="4"/>
    <x v="43"/>
    <x v="8"/>
    <x v="68"/>
    <n v="320"/>
    <x v="0"/>
    <x v="2"/>
    <x v="0"/>
  </r>
  <r>
    <x v="28"/>
    <x v="4"/>
    <x v="30"/>
    <x v="8"/>
    <x v="12"/>
    <n v="540"/>
    <x v="0"/>
    <x v="2"/>
    <x v="0"/>
  </r>
  <r>
    <x v="28"/>
    <x v="17"/>
    <x v="5"/>
    <x v="1"/>
    <x v="2"/>
    <m/>
    <x v="46"/>
    <x v="2"/>
    <x v="0"/>
  </r>
  <r>
    <x v="28"/>
    <x v="17"/>
    <x v="39"/>
    <x v="14"/>
    <x v="26"/>
    <n v="4950"/>
    <x v="0"/>
    <x v="2"/>
    <x v="0"/>
  </r>
  <r>
    <x v="28"/>
    <x v="12"/>
    <x v="5"/>
    <x v="1"/>
    <x v="2"/>
    <m/>
    <x v="91"/>
    <x v="2"/>
    <x v="0"/>
  </r>
  <r>
    <x v="28"/>
    <x v="12"/>
    <x v="39"/>
    <x v="4"/>
    <x v="26"/>
    <n v="6600"/>
    <x v="0"/>
    <x v="2"/>
    <x v="0"/>
  </r>
  <r>
    <x v="29"/>
    <x v="3"/>
    <x v="5"/>
    <x v="1"/>
    <x v="2"/>
    <m/>
    <x v="100"/>
    <x v="2"/>
    <x v="0"/>
  </r>
  <r>
    <x v="29"/>
    <x v="3"/>
    <x v="19"/>
    <x v="4"/>
    <x v="9"/>
    <n v="12900"/>
    <x v="0"/>
    <x v="2"/>
    <x v="0"/>
  </r>
  <r>
    <x v="30"/>
    <x v="1"/>
    <x v="5"/>
    <x v="1"/>
    <x v="2"/>
    <m/>
    <x v="54"/>
    <x v="2"/>
    <x v="0"/>
  </r>
  <r>
    <x v="30"/>
    <x v="1"/>
    <x v="39"/>
    <x v="4"/>
    <x v="26"/>
    <n v="6600"/>
    <x v="0"/>
    <x v="2"/>
    <x v="0"/>
  </r>
  <r>
    <x v="30"/>
    <x v="1"/>
    <x v="7"/>
    <x v="3"/>
    <x v="4"/>
    <n v="3450"/>
    <x v="0"/>
    <x v="2"/>
    <x v="0"/>
  </r>
  <r>
    <x v="30"/>
    <x v="17"/>
    <x v="5"/>
    <x v="1"/>
    <x v="2"/>
    <m/>
    <x v="101"/>
    <x v="2"/>
    <x v="0"/>
  </r>
  <r>
    <x v="30"/>
    <x v="17"/>
    <x v="39"/>
    <x v="5"/>
    <x v="26"/>
    <n v="2970"/>
    <x v="0"/>
    <x v="2"/>
    <x v="0"/>
  </r>
  <r>
    <x v="31"/>
    <x v="5"/>
    <x v="5"/>
    <x v="1"/>
    <x v="2"/>
    <m/>
    <x v="102"/>
    <x v="2"/>
    <x v="0"/>
  </r>
  <r>
    <x v="31"/>
    <x v="5"/>
    <x v="17"/>
    <x v="9"/>
    <x v="8"/>
    <n v="2250"/>
    <x v="0"/>
    <x v="2"/>
    <x v="0"/>
  </r>
  <r>
    <x v="31"/>
    <x v="5"/>
    <x v="23"/>
    <x v="10"/>
    <x v="15"/>
    <n v="960"/>
    <x v="0"/>
    <x v="2"/>
    <x v="0"/>
  </r>
  <r>
    <x v="31"/>
    <x v="5"/>
    <x v="22"/>
    <x v="10"/>
    <x v="14"/>
    <n v="1000"/>
    <x v="0"/>
    <x v="2"/>
    <x v="0"/>
  </r>
  <r>
    <x v="31"/>
    <x v="5"/>
    <x v="58"/>
    <x v="12"/>
    <x v="51"/>
    <n v="1075"/>
    <x v="0"/>
    <x v="2"/>
    <x v="0"/>
  </r>
  <r>
    <x v="31"/>
    <x v="5"/>
    <x v="39"/>
    <x v="3"/>
    <x v="26"/>
    <n v="3300"/>
    <x v="0"/>
    <x v="2"/>
    <x v="0"/>
  </r>
  <r>
    <x v="31"/>
    <x v="5"/>
    <x v="7"/>
    <x v="9"/>
    <x v="18"/>
    <n v="1026"/>
    <x v="0"/>
    <x v="2"/>
    <x v="0"/>
  </r>
  <r>
    <x v="31"/>
    <x v="5"/>
    <x v="4"/>
    <x v="10"/>
    <x v="1"/>
    <m/>
    <x v="0"/>
    <x v="2"/>
    <x v="0"/>
  </r>
  <r>
    <x v="31"/>
    <x v="5"/>
    <x v="24"/>
    <x v="0"/>
    <x v="16"/>
    <n v="1560"/>
    <x v="0"/>
    <x v="2"/>
    <x v="0"/>
  </r>
  <r>
    <x v="31"/>
    <x v="5"/>
    <x v="49"/>
    <x v="44"/>
    <x v="43"/>
    <n v="1710"/>
    <x v="0"/>
    <x v="2"/>
    <x v="0"/>
  </r>
  <r>
    <x v="32"/>
    <x v="28"/>
    <x v="5"/>
    <x v="1"/>
    <x v="2"/>
    <m/>
    <x v="103"/>
    <x v="2"/>
    <x v="0"/>
  </r>
  <r>
    <x v="32"/>
    <x v="28"/>
    <x v="39"/>
    <x v="4"/>
    <x v="26"/>
    <n v="6600"/>
    <x v="0"/>
    <x v="2"/>
    <x v="0"/>
  </r>
  <r>
    <x v="32"/>
    <x v="28"/>
    <x v="58"/>
    <x v="12"/>
    <x v="51"/>
    <n v="1075"/>
    <x v="0"/>
    <x v="2"/>
    <x v="0"/>
  </r>
  <r>
    <x v="32"/>
    <x v="10"/>
    <x v="5"/>
    <x v="1"/>
    <x v="2"/>
    <m/>
    <x v="104"/>
    <x v="2"/>
    <x v="0"/>
  </r>
  <r>
    <x v="32"/>
    <x v="10"/>
    <x v="33"/>
    <x v="45"/>
    <x v="21"/>
    <n v="1728"/>
    <x v="0"/>
    <x v="2"/>
    <x v="0"/>
  </r>
  <r>
    <x v="32"/>
    <x v="10"/>
    <x v="32"/>
    <x v="10"/>
    <x v="22"/>
    <n v="500"/>
    <x v="0"/>
    <x v="2"/>
    <x v="0"/>
  </r>
  <r>
    <x v="32"/>
    <x v="12"/>
    <x v="5"/>
    <x v="1"/>
    <x v="2"/>
    <m/>
    <x v="105"/>
    <x v="2"/>
    <x v="0"/>
  </r>
  <r>
    <x v="32"/>
    <x v="12"/>
    <x v="61"/>
    <x v="45"/>
    <x v="20"/>
    <n v="4480"/>
    <x v="0"/>
    <x v="2"/>
    <x v="0"/>
  </r>
  <r>
    <x v="32"/>
    <x v="15"/>
    <x v="5"/>
    <x v="1"/>
    <x v="2"/>
    <m/>
    <x v="106"/>
    <x v="2"/>
    <x v="0"/>
  </r>
  <r>
    <x v="32"/>
    <x v="15"/>
    <x v="66"/>
    <x v="8"/>
    <x v="71"/>
    <n v="2500"/>
    <x v="0"/>
    <x v="2"/>
    <x v="0"/>
  </r>
  <r>
    <x v="33"/>
    <x v="28"/>
    <x v="5"/>
    <x v="1"/>
    <x v="2"/>
    <m/>
    <x v="107"/>
    <x v="2"/>
    <x v="0"/>
  </r>
  <r>
    <x v="33"/>
    <x v="28"/>
    <x v="49"/>
    <x v="30"/>
    <x v="43"/>
    <n v="7600"/>
    <x v="0"/>
    <x v="2"/>
    <x v="0"/>
  </r>
  <r>
    <x v="33"/>
    <x v="0"/>
    <x v="5"/>
    <x v="1"/>
    <x v="2"/>
    <m/>
    <x v="108"/>
    <x v="2"/>
    <x v="0"/>
  </r>
  <r>
    <x v="33"/>
    <x v="0"/>
    <x v="39"/>
    <x v="3"/>
    <x v="26"/>
    <n v="3300"/>
    <x v="0"/>
    <x v="2"/>
    <x v="0"/>
  </r>
  <r>
    <x v="33"/>
    <x v="0"/>
    <x v="49"/>
    <x v="38"/>
    <x v="43"/>
    <n v="3800"/>
    <x v="0"/>
    <x v="2"/>
    <x v="0"/>
  </r>
  <r>
    <x v="33"/>
    <x v="0"/>
    <x v="67"/>
    <x v="2"/>
    <x v="3"/>
    <n v="5040"/>
    <x v="0"/>
    <x v="2"/>
    <x v="0"/>
  </r>
  <r>
    <x v="33"/>
    <x v="0"/>
    <x v="53"/>
    <x v="18"/>
    <x v="51"/>
    <n v="5160"/>
    <x v="0"/>
    <x v="2"/>
    <x v="0"/>
  </r>
  <r>
    <x v="33"/>
    <x v="0"/>
    <x v="62"/>
    <x v="18"/>
    <x v="72"/>
    <n v="6660"/>
    <x v="0"/>
    <x v="2"/>
    <x v="0"/>
  </r>
  <r>
    <x v="33"/>
    <x v="0"/>
    <x v="68"/>
    <x v="11"/>
    <x v="65"/>
    <n v="3270"/>
    <x v="0"/>
    <x v="2"/>
    <x v="0"/>
  </r>
  <r>
    <x v="33"/>
    <x v="1"/>
    <x v="5"/>
    <x v="1"/>
    <x v="2"/>
    <m/>
    <x v="3"/>
    <x v="2"/>
    <x v="0"/>
  </r>
  <r>
    <x v="33"/>
    <x v="1"/>
    <x v="7"/>
    <x v="3"/>
    <x v="4"/>
    <n v="3450"/>
    <x v="0"/>
    <x v="2"/>
    <x v="0"/>
  </r>
  <r>
    <x v="33"/>
    <x v="2"/>
    <x v="5"/>
    <x v="1"/>
    <x v="2"/>
    <m/>
    <x v="109"/>
    <x v="2"/>
    <x v="0"/>
  </r>
  <r>
    <x v="33"/>
    <x v="2"/>
    <x v="24"/>
    <x v="39"/>
    <x v="73"/>
    <n v="9500"/>
    <x v="0"/>
    <x v="2"/>
    <x v="0"/>
  </r>
  <r>
    <x v="33"/>
    <x v="29"/>
    <x v="5"/>
    <x v="1"/>
    <x v="2"/>
    <m/>
    <x v="110"/>
    <x v="2"/>
    <x v="0"/>
  </r>
  <r>
    <x v="33"/>
    <x v="29"/>
    <x v="62"/>
    <x v="46"/>
    <x v="74"/>
    <n v="9882"/>
    <x v="0"/>
    <x v="2"/>
    <x v="0"/>
  </r>
  <r>
    <x v="34"/>
    <x v="1"/>
    <x v="5"/>
    <x v="1"/>
    <x v="2"/>
    <m/>
    <x v="111"/>
    <x v="2"/>
    <x v="0"/>
  </r>
  <r>
    <x v="34"/>
    <x v="1"/>
    <x v="39"/>
    <x v="24"/>
    <x v="26"/>
    <n v="33000"/>
    <x v="0"/>
    <x v="2"/>
    <x v="0"/>
  </r>
  <r>
    <x v="34"/>
    <x v="4"/>
    <x v="5"/>
    <x v="1"/>
    <x v="2"/>
    <m/>
    <x v="112"/>
    <x v="2"/>
    <x v="0"/>
  </r>
  <r>
    <x v="34"/>
    <x v="4"/>
    <x v="62"/>
    <x v="3"/>
    <x v="75"/>
    <n v="2800"/>
    <x v="0"/>
    <x v="2"/>
    <x v="0"/>
  </r>
  <r>
    <x v="34"/>
    <x v="4"/>
    <x v="69"/>
    <x v="4"/>
    <x v="76"/>
    <n v="1560"/>
    <x v="0"/>
    <x v="2"/>
    <x v="0"/>
  </r>
  <r>
    <x v="34"/>
    <x v="4"/>
    <x v="70"/>
    <x v="1"/>
    <x v="2"/>
    <m/>
    <x v="0"/>
    <x v="2"/>
    <x v="0"/>
  </r>
  <r>
    <x v="34"/>
    <x v="2"/>
    <x v="5"/>
    <x v="1"/>
    <x v="2"/>
    <m/>
    <x v="113"/>
    <x v="2"/>
    <x v="0"/>
  </r>
  <r>
    <x v="34"/>
    <x v="2"/>
    <x v="8"/>
    <x v="20"/>
    <x v="5"/>
    <n v="26250"/>
    <x v="0"/>
    <x v="2"/>
    <x v="0"/>
  </r>
  <r>
    <x v="34"/>
    <x v="5"/>
    <x v="5"/>
    <x v="1"/>
    <x v="2"/>
    <m/>
    <x v="114"/>
    <x v="2"/>
    <x v="0"/>
  </r>
  <r>
    <x v="34"/>
    <x v="5"/>
    <x v="49"/>
    <x v="30"/>
    <x v="43"/>
    <n v="7600"/>
    <x v="0"/>
    <x v="2"/>
    <x v="0"/>
  </r>
  <r>
    <x v="34"/>
    <x v="5"/>
    <x v="58"/>
    <x v="4"/>
    <x v="51"/>
    <n v="4300"/>
    <x v="0"/>
    <x v="2"/>
    <x v="0"/>
  </r>
  <r>
    <x v="34"/>
    <x v="5"/>
    <x v="58"/>
    <x v="3"/>
    <x v="51"/>
    <n v="2150"/>
    <x v="0"/>
    <x v="2"/>
    <x v="0"/>
  </r>
  <r>
    <x v="34"/>
    <x v="5"/>
    <x v="39"/>
    <x v="3"/>
    <x v="26"/>
    <n v="3300"/>
    <x v="0"/>
    <x v="2"/>
    <x v="0"/>
  </r>
  <r>
    <x v="34"/>
    <x v="5"/>
    <x v="40"/>
    <x v="9"/>
    <x v="37"/>
    <n v="900"/>
    <x v="0"/>
    <x v="2"/>
    <x v="0"/>
  </r>
  <r>
    <x v="34"/>
    <x v="5"/>
    <x v="7"/>
    <x v="33"/>
    <x v="18"/>
    <n v="2394"/>
    <x v="0"/>
    <x v="2"/>
    <x v="0"/>
  </r>
  <r>
    <x v="34"/>
    <x v="5"/>
    <x v="59"/>
    <x v="0"/>
    <x v="14"/>
    <n v="2000"/>
    <x v="0"/>
    <x v="2"/>
    <x v="0"/>
  </r>
  <r>
    <x v="34"/>
    <x v="5"/>
    <x v="8"/>
    <x v="0"/>
    <x v="5"/>
    <n v="2100"/>
    <x v="0"/>
    <x v="2"/>
    <x v="0"/>
  </r>
  <r>
    <x v="34"/>
    <x v="5"/>
    <x v="10"/>
    <x v="10"/>
    <x v="12"/>
    <n v="1080"/>
    <x v="0"/>
    <x v="2"/>
    <x v="0"/>
  </r>
  <r>
    <x v="34"/>
    <x v="5"/>
    <x v="71"/>
    <x v="8"/>
    <x v="12"/>
    <n v="540"/>
    <x v="0"/>
    <x v="2"/>
    <x v="0"/>
  </r>
  <r>
    <x v="34"/>
    <x v="5"/>
    <x v="21"/>
    <x v="10"/>
    <x v="13"/>
    <n v="1480"/>
    <x v="0"/>
    <x v="2"/>
    <x v="0"/>
  </r>
  <r>
    <x v="34"/>
    <x v="5"/>
    <x v="22"/>
    <x v="10"/>
    <x v="14"/>
    <n v="1000"/>
    <x v="0"/>
    <x v="2"/>
    <x v="0"/>
  </r>
  <r>
    <x v="35"/>
    <x v="30"/>
    <x v="5"/>
    <x v="1"/>
    <x v="2"/>
    <m/>
    <x v="115"/>
    <x v="2"/>
    <x v="0"/>
  </r>
  <r>
    <x v="35"/>
    <x v="30"/>
    <x v="72"/>
    <x v="1"/>
    <x v="2"/>
    <n v="8280"/>
    <x v="0"/>
    <x v="2"/>
    <x v="0"/>
  </r>
  <r>
    <x v="35"/>
    <x v="30"/>
    <x v="16"/>
    <x v="9"/>
    <x v="8"/>
    <n v="2250"/>
    <x v="0"/>
    <x v="2"/>
    <x v="0"/>
  </r>
  <r>
    <x v="35"/>
    <x v="30"/>
    <x v="71"/>
    <x v="8"/>
    <x v="65"/>
    <n v="545"/>
    <x v="0"/>
    <x v="2"/>
    <x v="0"/>
  </r>
  <r>
    <x v="35"/>
    <x v="30"/>
    <x v="30"/>
    <x v="8"/>
    <x v="65"/>
    <n v="545"/>
    <x v="0"/>
    <x v="2"/>
    <x v="0"/>
  </r>
  <r>
    <x v="35"/>
    <x v="30"/>
    <x v="2"/>
    <x v="8"/>
    <x v="9"/>
    <n v="645"/>
    <x v="0"/>
    <x v="2"/>
    <x v="0"/>
  </r>
  <r>
    <x v="35"/>
    <x v="30"/>
    <x v="73"/>
    <x v="8"/>
    <x v="65"/>
    <n v="545"/>
    <x v="0"/>
    <x v="2"/>
    <x v="0"/>
  </r>
  <r>
    <x v="35"/>
    <x v="30"/>
    <x v="1"/>
    <x v="8"/>
    <x v="9"/>
    <n v="645"/>
    <x v="0"/>
    <x v="2"/>
    <x v="0"/>
  </r>
  <r>
    <x v="35"/>
    <x v="30"/>
    <x v="39"/>
    <x v="10"/>
    <x v="6"/>
    <n v="670"/>
    <x v="0"/>
    <x v="2"/>
    <x v="0"/>
  </r>
  <r>
    <x v="35"/>
    <x v="30"/>
    <x v="9"/>
    <x v="10"/>
    <x v="4"/>
    <n v="690"/>
    <x v="0"/>
    <x v="2"/>
    <x v="0"/>
  </r>
  <r>
    <x v="35"/>
    <x v="30"/>
    <x v="49"/>
    <x v="35"/>
    <x v="38"/>
    <n v="400"/>
    <x v="0"/>
    <x v="2"/>
    <x v="0"/>
  </r>
  <r>
    <x v="35"/>
    <x v="30"/>
    <x v="21"/>
    <x v="8"/>
    <x v="28"/>
    <n v="800"/>
    <x v="0"/>
    <x v="2"/>
    <x v="0"/>
  </r>
  <r>
    <x v="35"/>
    <x v="30"/>
    <x v="28"/>
    <x v="8"/>
    <x v="65"/>
    <n v="545"/>
    <x v="0"/>
    <x v="2"/>
    <x v="0"/>
  </r>
  <r>
    <x v="35"/>
    <x v="30"/>
    <x v="4"/>
    <x v="10"/>
    <x v="24"/>
    <m/>
    <x v="0"/>
    <x v="2"/>
    <x v="0"/>
  </r>
  <r>
    <x v="35"/>
    <x v="30"/>
    <x v="5"/>
    <x v="1"/>
    <x v="2"/>
    <m/>
    <x v="116"/>
    <x v="2"/>
    <x v="0"/>
  </r>
  <r>
    <x v="35"/>
    <x v="30"/>
    <x v="72"/>
    <x v="1"/>
    <x v="2"/>
    <n v="2810"/>
    <x v="0"/>
    <x v="2"/>
    <x v="0"/>
  </r>
  <r>
    <x v="35"/>
    <x v="30"/>
    <x v="74"/>
    <x v="10"/>
    <x v="9"/>
    <n v="1290"/>
    <x v="0"/>
    <x v="2"/>
    <x v="0"/>
  </r>
  <r>
    <x v="35"/>
    <x v="30"/>
    <x v="8"/>
    <x v="10"/>
    <x v="12"/>
    <n v="1080"/>
    <x v="0"/>
    <x v="2"/>
    <x v="0"/>
  </r>
  <r>
    <x v="35"/>
    <x v="30"/>
    <x v="58"/>
    <x v="10"/>
    <x v="45"/>
    <n v="440"/>
    <x v="0"/>
    <x v="2"/>
    <x v="0"/>
  </r>
  <r>
    <x v="35"/>
    <x v="31"/>
    <x v="5"/>
    <x v="1"/>
    <x v="2"/>
    <m/>
    <x v="117"/>
    <x v="2"/>
    <x v="0"/>
  </r>
  <r>
    <x v="35"/>
    <x v="31"/>
    <x v="68"/>
    <x v="11"/>
    <x v="77"/>
    <n v="3280"/>
    <x v="0"/>
    <x v="2"/>
    <x v="0"/>
  </r>
  <r>
    <x v="35"/>
    <x v="32"/>
    <x v="5"/>
    <x v="1"/>
    <x v="2"/>
    <m/>
    <x v="118"/>
    <x v="2"/>
    <x v="0"/>
  </r>
  <r>
    <x v="35"/>
    <x v="32"/>
    <x v="62"/>
    <x v="11"/>
    <x v="78"/>
    <n v="1670"/>
    <x v="0"/>
    <x v="2"/>
    <x v="0"/>
  </r>
  <r>
    <x v="35"/>
    <x v="32"/>
    <x v="69"/>
    <x v="3"/>
    <x v="79"/>
    <n v="775"/>
    <x v="0"/>
    <x v="2"/>
    <x v="0"/>
  </r>
  <r>
    <x v="35"/>
    <x v="17"/>
    <x v="5"/>
    <x v="1"/>
    <x v="2"/>
    <m/>
    <x v="20"/>
    <x v="2"/>
    <x v="0"/>
  </r>
  <r>
    <x v="35"/>
    <x v="17"/>
    <x v="39"/>
    <x v="3"/>
    <x v="26"/>
    <n v="3300"/>
    <x v="0"/>
    <x v="2"/>
    <x v="0"/>
  </r>
  <r>
    <x v="35"/>
    <x v="25"/>
    <x v="5"/>
    <x v="1"/>
    <x v="2"/>
    <m/>
    <x v="119"/>
    <x v="2"/>
    <x v="0"/>
  </r>
  <r>
    <x v="35"/>
    <x v="25"/>
    <x v="62"/>
    <x v="3"/>
    <x v="59"/>
    <n v="2780"/>
    <x v="0"/>
    <x v="2"/>
    <x v="0"/>
  </r>
  <r>
    <x v="35"/>
    <x v="8"/>
    <x v="5"/>
    <x v="1"/>
    <x v="2"/>
    <m/>
    <x v="120"/>
    <x v="2"/>
    <x v="0"/>
  </r>
  <r>
    <x v="36"/>
    <x v="4"/>
    <x v="5"/>
    <x v="1"/>
    <x v="2"/>
    <m/>
    <x v="121"/>
    <x v="2"/>
    <x v="0"/>
  </r>
  <r>
    <x v="36"/>
    <x v="4"/>
    <x v="8"/>
    <x v="9"/>
    <x v="80"/>
    <n v="1590"/>
    <x v="0"/>
    <x v="2"/>
    <x v="0"/>
  </r>
  <r>
    <x v="36"/>
    <x v="4"/>
    <x v="10"/>
    <x v="10"/>
    <x v="65"/>
    <n v="1090"/>
    <x v="0"/>
    <x v="2"/>
    <x v="0"/>
  </r>
  <r>
    <x v="36"/>
    <x v="4"/>
    <x v="0"/>
    <x v="8"/>
    <x v="23"/>
    <n v="650"/>
    <x v="0"/>
    <x v="2"/>
    <x v="0"/>
  </r>
  <r>
    <x v="36"/>
    <x v="4"/>
    <x v="17"/>
    <x v="10"/>
    <x v="8"/>
    <n v="1500"/>
    <x v="0"/>
    <x v="2"/>
    <x v="0"/>
  </r>
  <r>
    <x v="36"/>
    <x v="4"/>
    <x v="20"/>
    <x v="8"/>
    <x v="12"/>
    <n v="540"/>
    <x v="0"/>
    <x v="2"/>
    <x v="0"/>
  </r>
  <r>
    <x v="36"/>
    <x v="4"/>
    <x v="4"/>
    <x v="8"/>
    <x v="1"/>
    <m/>
    <x v="0"/>
    <x v="2"/>
    <x v="0"/>
  </r>
  <r>
    <x v="36"/>
    <x v="4"/>
    <x v="5"/>
    <x v="1"/>
    <x v="2"/>
    <m/>
    <x v="122"/>
    <x v="2"/>
    <x v="0"/>
  </r>
  <r>
    <x v="36"/>
    <x v="4"/>
    <x v="17"/>
    <x v="12"/>
    <x v="8"/>
    <n v="3750"/>
    <x v="0"/>
    <x v="2"/>
    <x v="0"/>
  </r>
  <r>
    <x v="36"/>
    <x v="4"/>
    <x v="0"/>
    <x v="11"/>
    <x v="9"/>
    <n v="3870"/>
    <x v="0"/>
    <x v="2"/>
    <x v="0"/>
  </r>
  <r>
    <x v="36"/>
    <x v="4"/>
    <x v="1"/>
    <x v="9"/>
    <x v="9"/>
    <n v="1935"/>
    <x v="0"/>
    <x v="2"/>
    <x v="0"/>
  </r>
  <r>
    <x v="36"/>
    <x v="4"/>
    <x v="10"/>
    <x v="5"/>
    <x v="65"/>
    <n v="4905"/>
    <x v="0"/>
    <x v="2"/>
    <x v="0"/>
  </r>
  <r>
    <x v="36"/>
    <x v="4"/>
    <x v="73"/>
    <x v="12"/>
    <x v="65"/>
    <n v="2725"/>
    <x v="0"/>
    <x v="2"/>
    <x v="0"/>
  </r>
  <r>
    <x v="36"/>
    <x v="4"/>
    <x v="30"/>
    <x v="10"/>
    <x v="65"/>
    <n v="1090"/>
    <x v="0"/>
    <x v="2"/>
    <x v="0"/>
  </r>
  <r>
    <x v="36"/>
    <x v="4"/>
    <x v="25"/>
    <x v="10"/>
    <x v="81"/>
    <n v="1380"/>
    <x v="0"/>
    <x v="2"/>
    <x v="0"/>
  </r>
  <r>
    <x v="36"/>
    <x v="4"/>
    <x v="23"/>
    <x v="10"/>
    <x v="32"/>
    <n v="1040"/>
    <x v="0"/>
    <x v="2"/>
    <x v="0"/>
  </r>
  <r>
    <x v="36"/>
    <x v="4"/>
    <x v="21"/>
    <x v="10"/>
    <x v="31"/>
    <n v="1560"/>
    <x v="0"/>
    <x v="2"/>
    <x v="0"/>
  </r>
  <r>
    <x v="36"/>
    <x v="4"/>
    <x v="4"/>
    <x v="9"/>
    <x v="1"/>
    <m/>
    <x v="0"/>
    <x v="2"/>
    <x v="0"/>
  </r>
  <r>
    <x v="36"/>
    <x v="8"/>
    <x v="5"/>
    <x v="1"/>
    <x v="2"/>
    <m/>
    <x v="123"/>
    <x v="2"/>
    <x v="0"/>
  </r>
  <r>
    <x v="36"/>
    <x v="4"/>
    <x v="5"/>
    <x v="1"/>
    <x v="2"/>
    <m/>
    <x v="124"/>
    <x v="2"/>
    <x v="0"/>
  </r>
  <r>
    <x v="36"/>
    <x v="4"/>
    <x v="17"/>
    <x v="8"/>
    <x v="8"/>
    <n v="750"/>
    <x v="0"/>
    <x v="2"/>
    <x v="0"/>
  </r>
  <r>
    <x v="36"/>
    <x v="4"/>
    <x v="30"/>
    <x v="10"/>
    <x v="65"/>
    <n v="1090"/>
    <x v="0"/>
    <x v="2"/>
    <x v="0"/>
  </r>
  <r>
    <x v="36"/>
    <x v="4"/>
    <x v="73"/>
    <x v="10"/>
    <x v="65"/>
    <n v="1090"/>
    <x v="0"/>
    <x v="2"/>
    <x v="0"/>
  </r>
  <r>
    <x v="36"/>
    <x v="4"/>
    <x v="0"/>
    <x v="8"/>
    <x v="9"/>
    <n v="645"/>
    <x v="0"/>
    <x v="2"/>
    <x v="0"/>
  </r>
  <r>
    <x v="36"/>
    <x v="4"/>
    <x v="75"/>
    <x v="8"/>
    <x v="28"/>
    <n v="800"/>
    <x v="0"/>
    <x v="2"/>
    <x v="0"/>
  </r>
  <r>
    <x v="36"/>
    <x v="4"/>
    <x v="39"/>
    <x v="10"/>
    <x v="26"/>
    <n v="660"/>
    <x v="0"/>
    <x v="2"/>
    <x v="0"/>
  </r>
  <r>
    <x v="36"/>
    <x v="4"/>
    <x v="31"/>
    <x v="14"/>
    <x v="21"/>
    <n v="3240"/>
    <x v="0"/>
    <x v="2"/>
    <x v="0"/>
  </r>
  <r>
    <x v="36"/>
    <x v="4"/>
    <x v="32"/>
    <x v="12"/>
    <x v="82"/>
    <n v="1175"/>
    <x v="0"/>
    <x v="2"/>
    <x v="0"/>
  </r>
  <r>
    <x v="36"/>
    <x v="4"/>
    <x v="48"/>
    <x v="4"/>
    <x v="37"/>
    <n v="6000"/>
    <x v="0"/>
    <x v="2"/>
    <x v="0"/>
  </r>
  <r>
    <x v="36"/>
    <x v="4"/>
    <x v="5"/>
    <x v="1"/>
    <x v="2"/>
    <m/>
    <x v="125"/>
    <x v="2"/>
    <x v="0"/>
  </r>
  <r>
    <x v="36"/>
    <x v="4"/>
    <x v="4"/>
    <x v="12"/>
    <x v="1"/>
    <n v="900"/>
    <x v="0"/>
    <x v="2"/>
    <x v="0"/>
  </r>
  <r>
    <x v="36"/>
    <x v="4"/>
    <x v="8"/>
    <x v="10"/>
    <x v="80"/>
    <n v="1060"/>
    <x v="0"/>
    <x v="2"/>
    <x v="0"/>
  </r>
  <r>
    <x v="36"/>
    <x v="17"/>
    <x v="5"/>
    <x v="1"/>
    <x v="2"/>
    <m/>
    <x v="46"/>
    <x v="2"/>
    <x v="0"/>
  </r>
  <r>
    <x v="36"/>
    <x v="17"/>
    <x v="39"/>
    <x v="12"/>
    <x v="26"/>
    <n v="1650"/>
    <x v="0"/>
    <x v="2"/>
    <x v="0"/>
  </r>
  <r>
    <x v="36"/>
    <x v="17"/>
    <x v="39"/>
    <x v="3"/>
    <x v="26"/>
    <n v="3300"/>
    <x v="0"/>
    <x v="2"/>
    <x v="0"/>
  </r>
  <r>
    <x v="36"/>
    <x v="4"/>
    <x v="5"/>
    <x v="1"/>
    <x v="2"/>
    <m/>
    <x v="126"/>
    <x v="2"/>
    <x v="0"/>
  </r>
  <r>
    <x v="36"/>
    <x v="4"/>
    <x v="33"/>
    <x v="8"/>
    <x v="21"/>
    <n v="216"/>
    <x v="0"/>
    <x v="2"/>
    <x v="0"/>
  </r>
  <r>
    <x v="36"/>
    <x v="4"/>
    <x v="49"/>
    <x v="22"/>
    <x v="38"/>
    <n v="200"/>
    <x v="0"/>
    <x v="2"/>
    <x v="0"/>
  </r>
  <r>
    <x v="36"/>
    <x v="4"/>
    <x v="10"/>
    <x v="12"/>
    <x v="65"/>
    <n v="2725"/>
    <x v="0"/>
    <x v="2"/>
    <x v="0"/>
  </r>
  <r>
    <x v="36"/>
    <x v="4"/>
    <x v="39"/>
    <x v="8"/>
    <x v="26"/>
    <n v="330"/>
    <x v="0"/>
    <x v="2"/>
    <x v="0"/>
  </r>
  <r>
    <x v="36"/>
    <x v="4"/>
    <x v="49"/>
    <x v="22"/>
    <x v="38"/>
    <n v="200"/>
    <x v="0"/>
    <x v="2"/>
    <x v="0"/>
  </r>
  <r>
    <x v="36"/>
    <x v="4"/>
    <x v="39"/>
    <x v="12"/>
    <x v="26"/>
    <n v="1650"/>
    <x v="0"/>
    <x v="2"/>
    <x v="0"/>
  </r>
  <r>
    <x v="36"/>
    <x v="4"/>
    <x v="26"/>
    <x v="8"/>
    <x v="11"/>
    <n v="550"/>
    <x v="0"/>
    <x v="2"/>
    <x v="0"/>
  </r>
  <r>
    <x v="36"/>
    <x v="4"/>
    <x v="17"/>
    <x v="8"/>
    <x v="23"/>
    <n v="650"/>
    <x v="0"/>
    <x v="2"/>
    <x v="0"/>
  </r>
  <r>
    <x v="36"/>
    <x v="4"/>
    <x v="10"/>
    <x v="8"/>
    <x v="11"/>
    <n v="550"/>
    <x v="0"/>
    <x v="2"/>
    <x v="0"/>
  </r>
  <r>
    <x v="37"/>
    <x v="20"/>
    <x v="5"/>
    <x v="1"/>
    <x v="2"/>
    <m/>
    <x v="127"/>
    <x v="2"/>
    <x v="0"/>
  </r>
  <r>
    <x v="37"/>
    <x v="20"/>
    <x v="49"/>
    <x v="28"/>
    <x v="43"/>
    <n v="950"/>
    <x v="0"/>
    <x v="2"/>
    <x v="0"/>
  </r>
  <r>
    <x v="37"/>
    <x v="20"/>
    <x v="39"/>
    <x v="12"/>
    <x v="26"/>
    <n v="1650"/>
    <x v="0"/>
    <x v="2"/>
    <x v="0"/>
  </r>
  <r>
    <x v="37"/>
    <x v="0"/>
    <x v="5"/>
    <x v="1"/>
    <x v="2"/>
    <m/>
    <x v="128"/>
    <x v="2"/>
    <x v="0"/>
  </r>
  <r>
    <x v="37"/>
    <x v="0"/>
    <x v="49"/>
    <x v="30"/>
    <x v="43"/>
    <n v="7600"/>
    <x v="0"/>
    <x v="2"/>
    <x v="0"/>
  </r>
  <r>
    <x v="37"/>
    <x v="0"/>
    <x v="39"/>
    <x v="4"/>
    <x v="26"/>
    <n v="6600"/>
    <x v="0"/>
    <x v="2"/>
    <x v="0"/>
  </r>
  <r>
    <x v="37"/>
    <x v="15"/>
    <x v="5"/>
    <x v="1"/>
    <x v="2"/>
    <m/>
    <x v="129"/>
    <x v="2"/>
    <x v="0"/>
  </r>
  <r>
    <x v="37"/>
    <x v="15"/>
    <x v="4"/>
    <x v="12"/>
    <x v="1"/>
    <n v="900"/>
    <x v="0"/>
    <x v="2"/>
    <x v="0"/>
  </r>
  <r>
    <x v="37"/>
    <x v="15"/>
    <x v="8"/>
    <x v="9"/>
    <x v="80"/>
    <n v="1590"/>
    <x v="0"/>
    <x v="2"/>
    <x v="0"/>
  </r>
  <r>
    <x v="37"/>
    <x v="33"/>
    <x v="5"/>
    <x v="1"/>
    <x v="2"/>
    <m/>
    <x v="130"/>
    <x v="2"/>
    <x v="0"/>
  </r>
  <r>
    <x v="37"/>
    <x v="33"/>
    <x v="68"/>
    <x v="47"/>
    <x v="83"/>
    <n v="9811"/>
    <x v="0"/>
    <x v="2"/>
    <x v="0"/>
  </r>
  <r>
    <x v="37"/>
    <x v="33"/>
    <x v="62"/>
    <x v="46"/>
    <x v="84"/>
    <n v="10000"/>
    <x v="0"/>
    <x v="2"/>
    <x v="0"/>
  </r>
  <r>
    <x v="37"/>
    <x v="33"/>
    <x v="6"/>
    <x v="2"/>
    <x v="3"/>
    <n v="5040"/>
    <x v="0"/>
    <x v="2"/>
    <x v="0"/>
  </r>
  <r>
    <x v="37"/>
    <x v="33"/>
    <x v="53"/>
    <x v="18"/>
    <x v="45"/>
    <n v="5280"/>
    <x v="0"/>
    <x v="2"/>
    <x v="0"/>
  </r>
  <r>
    <x v="37"/>
    <x v="8"/>
    <x v="5"/>
    <x v="1"/>
    <x v="2"/>
    <m/>
    <x v="131"/>
    <x v="2"/>
    <x v="0"/>
  </r>
  <r>
    <x v="37"/>
    <x v="15"/>
    <x v="5"/>
    <x v="1"/>
    <x v="2"/>
    <m/>
    <x v="132"/>
    <x v="2"/>
    <x v="0"/>
  </r>
  <r>
    <x v="37"/>
    <x v="15"/>
    <x v="49"/>
    <x v="28"/>
    <x v="43"/>
    <n v="950"/>
    <x v="0"/>
    <x v="2"/>
    <x v="0"/>
  </r>
  <r>
    <x v="37"/>
    <x v="15"/>
    <x v="39"/>
    <x v="12"/>
    <x v="6"/>
    <n v="1675"/>
    <x v="0"/>
    <x v="2"/>
    <x v="0"/>
  </r>
  <r>
    <x v="37"/>
    <x v="23"/>
    <x v="5"/>
    <x v="1"/>
    <x v="2"/>
    <m/>
    <x v="133"/>
    <x v="2"/>
    <x v="0"/>
  </r>
  <r>
    <x v="37"/>
    <x v="23"/>
    <x v="8"/>
    <x v="12"/>
    <x v="12"/>
    <n v="2700"/>
    <x v="0"/>
    <x v="2"/>
    <x v="0"/>
  </r>
  <r>
    <x v="37"/>
    <x v="23"/>
    <x v="71"/>
    <x v="8"/>
    <x v="11"/>
    <n v="550"/>
    <x v="0"/>
    <x v="2"/>
    <x v="0"/>
  </r>
  <r>
    <x v="37"/>
    <x v="23"/>
    <x v="58"/>
    <x v="8"/>
    <x v="45"/>
    <n v="220"/>
    <x v="0"/>
    <x v="2"/>
    <x v="0"/>
  </r>
  <r>
    <x v="37"/>
    <x v="1"/>
    <x v="5"/>
    <x v="1"/>
    <x v="2"/>
    <m/>
    <x v="134"/>
    <x v="2"/>
    <x v="0"/>
  </r>
  <r>
    <x v="37"/>
    <x v="1"/>
    <x v="7"/>
    <x v="8"/>
    <x v="4"/>
    <n v="345"/>
    <x v="0"/>
    <x v="2"/>
    <x v="0"/>
  </r>
  <r>
    <x v="37"/>
    <x v="1"/>
    <x v="9"/>
    <x v="10"/>
    <x v="4"/>
    <n v="690"/>
    <x v="0"/>
    <x v="2"/>
    <x v="0"/>
  </r>
  <r>
    <x v="38"/>
    <x v="5"/>
    <x v="5"/>
    <x v="1"/>
    <x v="2"/>
    <m/>
    <x v="135"/>
    <x v="3"/>
    <x v="0"/>
  </r>
  <r>
    <x v="38"/>
    <x v="5"/>
    <x v="49"/>
    <x v="48"/>
    <x v="43"/>
    <n v="11400"/>
    <x v="0"/>
    <x v="3"/>
    <x v="0"/>
  </r>
  <r>
    <x v="38"/>
    <x v="5"/>
    <x v="9"/>
    <x v="3"/>
    <x v="18"/>
    <n v="3420"/>
    <x v="0"/>
    <x v="3"/>
    <x v="0"/>
  </r>
  <r>
    <x v="38"/>
    <x v="5"/>
    <x v="24"/>
    <x v="12"/>
    <x v="16"/>
    <n v="1950"/>
    <x v="0"/>
    <x v="3"/>
    <x v="0"/>
  </r>
  <r>
    <x v="38"/>
    <x v="5"/>
    <x v="43"/>
    <x v="12"/>
    <x v="37"/>
    <n v="1500"/>
    <x v="0"/>
    <x v="3"/>
    <x v="0"/>
  </r>
  <r>
    <x v="38"/>
    <x v="5"/>
    <x v="8"/>
    <x v="3"/>
    <x v="5"/>
    <n v="5250"/>
    <x v="0"/>
    <x v="3"/>
    <x v="0"/>
  </r>
  <r>
    <x v="38"/>
    <x v="5"/>
    <x v="39"/>
    <x v="4"/>
    <x v="26"/>
    <n v="6600"/>
    <x v="0"/>
    <x v="3"/>
    <x v="0"/>
  </r>
  <r>
    <x v="38"/>
    <x v="5"/>
    <x v="22"/>
    <x v="10"/>
    <x v="14"/>
    <n v="1000"/>
    <x v="0"/>
    <x v="3"/>
    <x v="0"/>
  </r>
  <r>
    <x v="38"/>
    <x v="5"/>
    <x v="21"/>
    <x v="8"/>
    <x v="31"/>
    <n v="780"/>
    <x v="0"/>
    <x v="3"/>
    <x v="0"/>
  </r>
  <r>
    <x v="38"/>
    <x v="5"/>
    <x v="59"/>
    <x v="10"/>
    <x v="14"/>
    <n v="1000"/>
    <x v="0"/>
    <x v="3"/>
    <x v="0"/>
  </r>
  <r>
    <x v="38"/>
    <x v="5"/>
    <x v="58"/>
    <x v="3"/>
    <x v="51"/>
    <n v="2150"/>
    <x v="0"/>
    <x v="3"/>
    <x v="0"/>
  </r>
  <r>
    <x v="38"/>
    <x v="5"/>
    <x v="58"/>
    <x v="4"/>
    <x v="51"/>
    <n v="4300"/>
    <x v="0"/>
    <x v="3"/>
    <x v="0"/>
  </r>
  <r>
    <x v="38"/>
    <x v="8"/>
    <x v="5"/>
    <x v="1"/>
    <x v="2"/>
    <m/>
    <x v="136"/>
    <x v="3"/>
    <x v="0"/>
  </r>
  <r>
    <x v="38"/>
    <x v="15"/>
    <x v="5"/>
    <x v="1"/>
    <x v="2"/>
    <m/>
    <x v="137"/>
    <x v="3"/>
    <x v="0"/>
  </r>
  <r>
    <x v="38"/>
    <x v="15"/>
    <x v="76"/>
    <x v="10"/>
    <x v="12"/>
    <n v="1080"/>
    <x v="0"/>
    <x v="3"/>
    <x v="0"/>
  </r>
  <r>
    <x v="38"/>
    <x v="15"/>
    <x v="8"/>
    <x v="8"/>
    <x v="12"/>
    <n v="540"/>
    <x v="0"/>
    <x v="3"/>
    <x v="0"/>
  </r>
  <r>
    <x v="38"/>
    <x v="15"/>
    <x v="7"/>
    <x v="8"/>
    <x v="39"/>
    <n v="350"/>
    <x v="0"/>
    <x v="3"/>
    <x v="0"/>
  </r>
  <r>
    <x v="38"/>
    <x v="15"/>
    <x v="39"/>
    <x v="8"/>
    <x v="26"/>
    <n v="330"/>
    <x v="0"/>
    <x v="3"/>
    <x v="0"/>
  </r>
  <r>
    <x v="38"/>
    <x v="15"/>
    <x v="49"/>
    <x v="35"/>
    <x v="43"/>
    <n v="380"/>
    <x v="0"/>
    <x v="3"/>
    <x v="0"/>
  </r>
  <r>
    <x v="38"/>
    <x v="15"/>
    <x v="7"/>
    <x v="8"/>
    <x v="39"/>
    <n v="350"/>
    <x v="0"/>
    <x v="3"/>
    <x v="0"/>
  </r>
  <r>
    <x v="39"/>
    <x v="10"/>
    <x v="5"/>
    <x v="1"/>
    <x v="2"/>
    <m/>
    <x v="138"/>
    <x v="3"/>
    <x v="0"/>
  </r>
  <r>
    <x v="39"/>
    <x v="10"/>
    <x v="8"/>
    <x v="12"/>
    <x v="12"/>
    <n v="2700"/>
    <x v="0"/>
    <x v="3"/>
    <x v="0"/>
  </r>
  <r>
    <x v="39"/>
    <x v="10"/>
    <x v="49"/>
    <x v="43"/>
    <x v="43"/>
    <n v="1900"/>
    <x v="0"/>
    <x v="3"/>
    <x v="0"/>
  </r>
  <r>
    <x v="39"/>
    <x v="10"/>
    <x v="39"/>
    <x v="12"/>
    <x v="6"/>
    <n v="1675"/>
    <x v="0"/>
    <x v="3"/>
    <x v="0"/>
  </r>
  <r>
    <x v="40"/>
    <x v="28"/>
    <x v="5"/>
    <x v="1"/>
    <x v="2"/>
    <m/>
    <x v="139"/>
    <x v="3"/>
    <x v="0"/>
  </r>
  <r>
    <x v="40"/>
    <x v="28"/>
    <x v="49"/>
    <x v="49"/>
    <x v="43"/>
    <n v="4750"/>
    <x v="0"/>
    <x v="3"/>
    <x v="0"/>
  </r>
  <r>
    <x v="40"/>
    <x v="28"/>
    <x v="39"/>
    <x v="4"/>
    <x v="26"/>
    <n v="6600"/>
    <x v="0"/>
    <x v="3"/>
    <x v="0"/>
  </r>
  <r>
    <x v="40"/>
    <x v="28"/>
    <x v="7"/>
    <x v="3"/>
    <x v="4"/>
    <n v="3450"/>
    <x v="0"/>
    <x v="3"/>
    <x v="0"/>
  </r>
  <r>
    <x v="40"/>
    <x v="2"/>
    <x v="5"/>
    <x v="1"/>
    <x v="2"/>
    <m/>
    <x v="140"/>
    <x v="3"/>
    <x v="0"/>
  </r>
  <r>
    <x v="40"/>
    <x v="2"/>
    <x v="39"/>
    <x v="3"/>
    <x v="85"/>
    <n v="3230"/>
    <x v="0"/>
    <x v="3"/>
    <x v="0"/>
  </r>
  <r>
    <x v="41"/>
    <x v="24"/>
    <x v="5"/>
    <x v="1"/>
    <x v="2"/>
    <m/>
    <x v="141"/>
    <x v="3"/>
    <x v="0"/>
  </r>
  <r>
    <x v="41"/>
    <x v="24"/>
    <x v="39"/>
    <x v="20"/>
    <x v="41"/>
    <n v="16400"/>
    <x v="0"/>
    <x v="3"/>
    <x v="0"/>
  </r>
  <r>
    <x v="41"/>
    <x v="12"/>
    <x v="5"/>
    <x v="1"/>
    <x v="2"/>
    <m/>
    <x v="91"/>
    <x v="3"/>
    <x v="0"/>
  </r>
  <r>
    <x v="41"/>
    <x v="12"/>
    <x v="39"/>
    <x v="4"/>
    <x v="26"/>
    <n v="6600"/>
    <x v="0"/>
    <x v="3"/>
    <x v="0"/>
  </r>
  <r>
    <x v="41"/>
    <x v="17"/>
    <x v="5"/>
    <x v="1"/>
    <x v="2"/>
    <m/>
    <x v="91"/>
    <x v="3"/>
    <x v="0"/>
  </r>
  <r>
    <x v="41"/>
    <x v="17"/>
    <x v="39"/>
    <x v="4"/>
    <x v="26"/>
    <n v="6600"/>
    <x v="0"/>
    <x v="3"/>
    <x v="0"/>
  </r>
  <r>
    <x v="42"/>
    <x v="15"/>
    <x v="5"/>
    <x v="1"/>
    <x v="2"/>
    <m/>
    <x v="20"/>
    <x v="3"/>
    <x v="0"/>
  </r>
  <r>
    <x v="42"/>
    <x v="15"/>
    <x v="27"/>
    <x v="8"/>
    <x v="23"/>
    <n v="650"/>
    <x v="0"/>
    <x v="3"/>
    <x v="0"/>
  </r>
  <r>
    <x v="42"/>
    <x v="15"/>
    <x v="49"/>
    <x v="35"/>
    <x v="38"/>
    <n v="400"/>
    <x v="0"/>
    <x v="3"/>
    <x v="0"/>
  </r>
  <r>
    <x v="42"/>
    <x v="15"/>
    <x v="39"/>
    <x v="8"/>
    <x v="39"/>
    <n v="350"/>
    <x v="0"/>
    <x v="3"/>
    <x v="0"/>
  </r>
  <r>
    <x v="42"/>
    <x v="15"/>
    <x v="64"/>
    <x v="8"/>
    <x v="31"/>
    <n v="780"/>
    <x v="0"/>
    <x v="3"/>
    <x v="0"/>
  </r>
  <r>
    <x v="42"/>
    <x v="15"/>
    <x v="39"/>
    <x v="9"/>
    <x v="58"/>
    <n v="1000"/>
    <x v="0"/>
    <x v="3"/>
    <x v="0"/>
  </r>
  <r>
    <x v="42"/>
    <x v="8"/>
    <x v="5"/>
    <x v="1"/>
    <x v="2"/>
    <m/>
    <x v="0"/>
    <x v="3"/>
    <x v="0"/>
  </r>
  <r>
    <x v="43"/>
    <x v="4"/>
    <x v="5"/>
    <x v="1"/>
    <x v="2"/>
    <m/>
    <x v="142"/>
    <x v="3"/>
    <x v="0"/>
  </r>
  <r>
    <x v="43"/>
    <x v="4"/>
    <x v="31"/>
    <x v="0"/>
    <x v="21"/>
    <n v="864"/>
    <x v="0"/>
    <x v="3"/>
    <x v="0"/>
  </r>
  <r>
    <x v="43"/>
    <x v="4"/>
    <x v="24"/>
    <x v="8"/>
    <x v="46"/>
    <n v="400"/>
    <x v="0"/>
    <x v="3"/>
    <x v="0"/>
  </r>
  <r>
    <x v="43"/>
    <x v="4"/>
    <x v="7"/>
    <x v="8"/>
    <x v="39"/>
    <n v="350"/>
    <x v="0"/>
    <x v="3"/>
    <x v="0"/>
  </r>
  <r>
    <x v="43"/>
    <x v="4"/>
    <x v="17"/>
    <x v="8"/>
    <x v="86"/>
    <n v="580"/>
    <x v="0"/>
    <x v="3"/>
    <x v="0"/>
  </r>
  <r>
    <x v="43"/>
    <x v="4"/>
    <x v="49"/>
    <x v="28"/>
    <x v="43"/>
    <n v="950"/>
    <x v="0"/>
    <x v="3"/>
    <x v="0"/>
  </r>
  <r>
    <x v="43"/>
    <x v="8"/>
    <x v="5"/>
    <x v="1"/>
    <x v="2"/>
    <m/>
    <x v="143"/>
    <x v="3"/>
    <x v="0"/>
  </r>
  <r>
    <x v="43"/>
    <x v="4"/>
    <x v="5"/>
    <x v="1"/>
    <x v="2"/>
    <m/>
    <x v="144"/>
    <x v="3"/>
    <x v="0"/>
  </r>
  <r>
    <x v="43"/>
    <x v="4"/>
    <x v="76"/>
    <x v="8"/>
    <x v="0"/>
    <n v="640"/>
    <x v="0"/>
    <x v="3"/>
    <x v="0"/>
  </r>
  <r>
    <x v="43"/>
    <x v="4"/>
    <x v="4"/>
    <x v="10"/>
    <x v="24"/>
    <n v="370"/>
    <x v="0"/>
    <x v="3"/>
    <x v="0"/>
  </r>
  <r>
    <x v="43"/>
    <x v="4"/>
    <x v="77"/>
    <x v="8"/>
    <x v="87"/>
    <n v="860"/>
    <x v="0"/>
    <x v="3"/>
    <x v="0"/>
  </r>
  <r>
    <x v="43"/>
    <x v="4"/>
    <x v="8"/>
    <x v="8"/>
    <x v="12"/>
    <n v="540"/>
    <x v="0"/>
    <x v="3"/>
    <x v="0"/>
  </r>
  <r>
    <x v="43"/>
    <x v="4"/>
    <x v="5"/>
    <x v="1"/>
    <x v="2"/>
    <m/>
    <x v="145"/>
    <x v="3"/>
    <x v="0"/>
  </r>
  <r>
    <x v="43"/>
    <x v="4"/>
    <x v="17"/>
    <x v="8"/>
    <x v="12"/>
    <n v="540"/>
    <x v="0"/>
    <x v="3"/>
    <x v="0"/>
  </r>
  <r>
    <x v="43"/>
    <x v="4"/>
    <x v="18"/>
    <x v="8"/>
    <x v="12"/>
    <n v="540"/>
    <x v="0"/>
    <x v="3"/>
    <x v="0"/>
  </r>
  <r>
    <x v="43"/>
    <x v="4"/>
    <x v="63"/>
    <x v="8"/>
    <x v="31"/>
    <n v="780"/>
    <x v="0"/>
    <x v="3"/>
    <x v="0"/>
  </r>
  <r>
    <x v="43"/>
    <x v="4"/>
    <x v="5"/>
    <x v="1"/>
    <x v="2"/>
    <m/>
    <x v="146"/>
    <x v="3"/>
    <x v="0"/>
  </r>
  <r>
    <x v="43"/>
    <x v="4"/>
    <x v="8"/>
    <x v="9"/>
    <x v="12"/>
    <n v="1620"/>
    <x v="0"/>
    <x v="3"/>
    <x v="0"/>
  </r>
  <r>
    <x v="43"/>
    <x v="4"/>
    <x v="33"/>
    <x v="9"/>
    <x v="21"/>
    <n v="648"/>
    <x v="0"/>
    <x v="3"/>
    <x v="0"/>
  </r>
  <r>
    <x v="43"/>
    <x v="4"/>
    <x v="32"/>
    <x v="9"/>
    <x v="88"/>
    <n v="735"/>
    <x v="0"/>
    <x v="3"/>
    <x v="0"/>
  </r>
  <r>
    <x v="43"/>
    <x v="8"/>
    <x v="5"/>
    <x v="1"/>
    <x v="2"/>
    <m/>
    <x v="147"/>
    <x v="3"/>
    <x v="0"/>
  </r>
  <r>
    <x v="44"/>
    <x v="5"/>
    <x v="5"/>
    <x v="1"/>
    <x v="2"/>
    <m/>
    <x v="148"/>
    <x v="3"/>
    <x v="0"/>
  </r>
  <r>
    <x v="44"/>
    <x v="5"/>
    <x v="58"/>
    <x v="4"/>
    <x v="51"/>
    <n v="4300"/>
    <x v="0"/>
    <x v="3"/>
    <x v="0"/>
  </r>
  <r>
    <x v="44"/>
    <x v="5"/>
    <x v="49"/>
    <x v="50"/>
    <x v="43"/>
    <n v="13300"/>
    <x v="0"/>
    <x v="3"/>
    <x v="0"/>
  </r>
  <r>
    <x v="44"/>
    <x v="5"/>
    <x v="8"/>
    <x v="10"/>
    <x v="5"/>
    <n v="1050"/>
    <x v="0"/>
    <x v="3"/>
    <x v="0"/>
  </r>
  <r>
    <x v="44"/>
    <x v="5"/>
    <x v="43"/>
    <x v="12"/>
    <x v="37"/>
    <n v="1500"/>
    <x v="0"/>
    <x v="3"/>
    <x v="0"/>
  </r>
  <r>
    <x v="44"/>
    <x v="5"/>
    <x v="10"/>
    <x v="10"/>
    <x v="12"/>
    <n v="1080"/>
    <x v="0"/>
    <x v="3"/>
    <x v="0"/>
  </r>
  <r>
    <x v="44"/>
    <x v="5"/>
    <x v="73"/>
    <x v="8"/>
    <x v="12"/>
    <n v="540"/>
    <x v="0"/>
    <x v="3"/>
    <x v="0"/>
  </r>
  <r>
    <x v="44"/>
    <x v="5"/>
    <x v="39"/>
    <x v="10"/>
    <x v="26"/>
    <n v="660"/>
    <x v="0"/>
    <x v="3"/>
    <x v="0"/>
  </r>
  <r>
    <x v="44"/>
    <x v="5"/>
    <x v="24"/>
    <x v="0"/>
    <x v="16"/>
    <n v="1560"/>
    <x v="0"/>
    <x v="3"/>
    <x v="0"/>
  </r>
  <r>
    <x v="44"/>
    <x v="5"/>
    <x v="9"/>
    <x v="10"/>
    <x v="18"/>
    <n v="684"/>
    <x v="0"/>
    <x v="3"/>
    <x v="0"/>
  </r>
  <r>
    <x v="44"/>
    <x v="5"/>
    <x v="22"/>
    <x v="10"/>
    <x v="14"/>
    <n v="1000"/>
    <x v="0"/>
    <x v="3"/>
    <x v="0"/>
  </r>
  <r>
    <x v="44"/>
    <x v="5"/>
    <x v="58"/>
    <x v="4"/>
    <x v="51"/>
    <n v="4300"/>
    <x v="0"/>
    <x v="3"/>
    <x v="0"/>
  </r>
  <r>
    <x v="44"/>
    <x v="28"/>
    <x v="5"/>
    <x v="1"/>
    <x v="2"/>
    <m/>
    <x v="149"/>
    <x v="3"/>
    <x v="0"/>
  </r>
  <r>
    <x v="44"/>
    <x v="28"/>
    <x v="58"/>
    <x v="31"/>
    <x v="89"/>
    <n v="2800"/>
    <x v="0"/>
    <x v="3"/>
    <x v="0"/>
  </r>
  <r>
    <x v="45"/>
    <x v="12"/>
    <x v="5"/>
    <x v="1"/>
    <x v="2"/>
    <m/>
    <x v="87"/>
    <x v="3"/>
    <x v="0"/>
  </r>
  <r>
    <x v="45"/>
    <x v="12"/>
    <x v="49"/>
    <x v="38"/>
    <x v="43"/>
    <n v="3800"/>
    <x v="0"/>
    <x v="3"/>
    <x v="0"/>
  </r>
  <r>
    <x v="46"/>
    <x v="34"/>
    <x v="5"/>
    <x v="1"/>
    <x v="2"/>
    <m/>
    <x v="150"/>
    <x v="3"/>
    <x v="0"/>
  </r>
  <r>
    <x v="46"/>
    <x v="34"/>
    <x v="8"/>
    <x v="12"/>
    <x v="12"/>
    <n v="2700"/>
    <x v="0"/>
    <x v="3"/>
    <x v="0"/>
  </r>
  <r>
    <x v="46"/>
    <x v="35"/>
    <x v="5"/>
    <x v="1"/>
    <x v="2"/>
    <m/>
    <x v="151"/>
    <x v="3"/>
    <x v="0"/>
  </r>
  <r>
    <x v="46"/>
    <x v="35"/>
    <x v="4"/>
    <x v="4"/>
    <x v="90"/>
    <n v="4000"/>
    <x v="0"/>
    <x v="3"/>
    <x v="0"/>
  </r>
  <r>
    <x v="46"/>
    <x v="35"/>
    <x v="4"/>
    <x v="0"/>
    <x v="90"/>
    <m/>
    <x v="0"/>
    <x v="3"/>
    <x v="0"/>
  </r>
  <r>
    <x v="46"/>
    <x v="1"/>
    <x v="5"/>
    <x v="1"/>
    <x v="2"/>
    <m/>
    <x v="152"/>
    <x v="3"/>
    <x v="0"/>
  </r>
  <r>
    <x v="46"/>
    <x v="1"/>
    <x v="7"/>
    <x v="8"/>
    <x v="39"/>
    <n v="350"/>
    <x v="0"/>
    <x v="3"/>
    <x v="0"/>
  </r>
  <r>
    <x v="46"/>
    <x v="36"/>
    <x v="5"/>
    <x v="1"/>
    <x v="2"/>
    <m/>
    <x v="153"/>
    <x v="3"/>
    <x v="0"/>
  </r>
  <r>
    <x v="46"/>
    <x v="36"/>
    <x v="8"/>
    <x v="9"/>
    <x v="12"/>
    <n v="1620"/>
    <x v="0"/>
    <x v="3"/>
    <x v="0"/>
  </r>
  <r>
    <x v="46"/>
    <x v="36"/>
    <x v="30"/>
    <x v="9"/>
    <x v="12"/>
    <n v="1620"/>
    <x v="0"/>
    <x v="3"/>
    <x v="0"/>
  </r>
  <r>
    <x v="46"/>
    <x v="36"/>
    <x v="37"/>
    <x v="10"/>
    <x v="12"/>
    <n v="1080"/>
    <x v="0"/>
    <x v="3"/>
    <x v="0"/>
  </r>
  <r>
    <x v="46"/>
    <x v="36"/>
    <x v="4"/>
    <x v="9"/>
    <x v="1"/>
    <n v="540"/>
    <x v="0"/>
    <x v="3"/>
    <x v="0"/>
  </r>
  <r>
    <x v="46"/>
    <x v="36"/>
    <x v="36"/>
    <x v="8"/>
    <x v="91"/>
    <n v="240"/>
    <x v="0"/>
    <x v="3"/>
    <x v="0"/>
  </r>
  <r>
    <x v="47"/>
    <x v="28"/>
    <x v="5"/>
    <x v="1"/>
    <x v="2"/>
    <m/>
    <x v="48"/>
    <x v="3"/>
    <x v="0"/>
  </r>
  <r>
    <x v="47"/>
    <x v="28"/>
    <x v="49"/>
    <x v="26"/>
    <x v="43"/>
    <n v="5700"/>
    <x v="0"/>
    <x v="3"/>
    <x v="0"/>
  </r>
  <r>
    <x v="48"/>
    <x v="24"/>
    <x v="5"/>
    <x v="1"/>
    <x v="2"/>
    <m/>
    <x v="154"/>
    <x v="3"/>
    <x v="0"/>
  </r>
  <r>
    <x v="48"/>
    <x v="24"/>
    <x v="39"/>
    <x v="17"/>
    <x v="26"/>
    <n v="13200"/>
    <x v="0"/>
    <x v="3"/>
    <x v="0"/>
  </r>
  <r>
    <x v="48"/>
    <x v="1"/>
    <x v="5"/>
    <x v="1"/>
    <x v="2"/>
    <m/>
    <x v="155"/>
    <x v="3"/>
    <x v="0"/>
  </r>
  <r>
    <x v="48"/>
    <x v="1"/>
    <x v="39"/>
    <x v="20"/>
    <x v="26"/>
    <n v="16500"/>
    <x v="0"/>
    <x v="3"/>
    <x v="0"/>
  </r>
  <r>
    <x v="48"/>
    <x v="1"/>
    <x v="7"/>
    <x v="4"/>
    <x v="4"/>
    <n v="6900"/>
    <x v="0"/>
    <x v="3"/>
    <x v="0"/>
  </r>
  <r>
    <x v="48"/>
    <x v="37"/>
    <x v="5"/>
    <x v="1"/>
    <x v="2"/>
    <m/>
    <x v="156"/>
    <x v="3"/>
    <x v="0"/>
  </r>
  <r>
    <x v="48"/>
    <x v="37"/>
    <x v="68"/>
    <x v="47"/>
    <x v="65"/>
    <n v="9810"/>
    <x v="0"/>
    <x v="3"/>
    <x v="0"/>
  </r>
  <r>
    <x v="48"/>
    <x v="37"/>
    <x v="62"/>
    <x v="46"/>
    <x v="72"/>
    <n v="9990"/>
    <x v="0"/>
    <x v="3"/>
    <x v="0"/>
  </r>
  <r>
    <x v="48"/>
    <x v="37"/>
    <x v="78"/>
    <x v="51"/>
    <x v="92"/>
    <n v="7043"/>
    <x v="0"/>
    <x v="3"/>
    <x v="0"/>
  </r>
  <r>
    <x v="48"/>
    <x v="11"/>
    <x v="5"/>
    <x v="1"/>
    <x v="2"/>
    <m/>
    <x v="91"/>
    <x v="3"/>
    <x v="0"/>
  </r>
  <r>
    <x v="48"/>
    <x v="11"/>
    <x v="39"/>
    <x v="4"/>
    <x v="26"/>
    <n v="6600"/>
    <x v="0"/>
    <x v="3"/>
    <x v="0"/>
  </r>
  <r>
    <x v="49"/>
    <x v="15"/>
    <x v="5"/>
    <x v="1"/>
    <x v="2"/>
    <m/>
    <x v="74"/>
    <x v="3"/>
    <x v="0"/>
  </r>
  <r>
    <x v="49"/>
    <x v="15"/>
    <x v="39"/>
    <x v="12"/>
    <x v="26"/>
    <n v="1650"/>
    <x v="0"/>
    <x v="3"/>
    <x v="0"/>
  </r>
  <r>
    <x v="50"/>
    <x v="10"/>
    <x v="5"/>
    <x v="1"/>
    <x v="2"/>
    <m/>
    <x v="157"/>
    <x v="3"/>
    <x v="0"/>
  </r>
  <r>
    <x v="50"/>
    <x v="10"/>
    <x v="4"/>
    <x v="4"/>
    <x v="24"/>
    <n v="3700"/>
    <x v="0"/>
    <x v="3"/>
    <x v="0"/>
  </r>
  <r>
    <x v="50"/>
    <x v="10"/>
    <x v="33"/>
    <x v="9"/>
    <x v="57"/>
    <n v="630"/>
    <x v="0"/>
    <x v="3"/>
    <x v="0"/>
  </r>
  <r>
    <x v="50"/>
    <x v="10"/>
    <x v="32"/>
    <x v="10"/>
    <x v="22"/>
    <n v="500"/>
    <x v="0"/>
    <x v="3"/>
    <x v="0"/>
  </r>
  <r>
    <x v="50"/>
    <x v="0"/>
    <x v="5"/>
    <x v="1"/>
    <x v="2"/>
    <m/>
    <x v="158"/>
    <x v="3"/>
    <x v="0"/>
  </r>
  <r>
    <x v="50"/>
    <x v="0"/>
    <x v="49"/>
    <x v="52"/>
    <x v="43"/>
    <n v="2850"/>
    <x v="0"/>
    <x v="3"/>
    <x v="0"/>
  </r>
  <r>
    <x v="50"/>
    <x v="20"/>
    <x v="5"/>
    <x v="1"/>
    <x v="2"/>
    <m/>
    <x v="74"/>
    <x v="3"/>
    <x v="0"/>
  </r>
  <r>
    <x v="50"/>
    <x v="20"/>
    <x v="39"/>
    <x v="12"/>
    <x v="26"/>
    <n v="1650"/>
    <x v="0"/>
    <x v="3"/>
    <x v="0"/>
  </r>
  <r>
    <x v="50"/>
    <x v="21"/>
    <x v="5"/>
    <x v="1"/>
    <x v="2"/>
    <m/>
    <x v="159"/>
    <x v="3"/>
    <x v="0"/>
  </r>
  <r>
    <x v="50"/>
    <x v="21"/>
    <x v="49"/>
    <x v="43"/>
    <x v="44"/>
    <n v="1950"/>
    <x v="0"/>
    <x v="3"/>
    <x v="0"/>
  </r>
  <r>
    <x v="50"/>
    <x v="23"/>
    <x v="5"/>
    <x v="1"/>
    <x v="2"/>
    <m/>
    <x v="160"/>
    <x v="3"/>
    <x v="0"/>
  </r>
  <r>
    <x v="50"/>
    <x v="23"/>
    <x v="8"/>
    <x v="3"/>
    <x v="12"/>
    <n v="5400"/>
    <x v="0"/>
    <x v="3"/>
    <x v="0"/>
  </r>
  <r>
    <x v="50"/>
    <x v="23"/>
    <x v="49"/>
    <x v="43"/>
    <x v="44"/>
    <n v="1950"/>
    <x v="0"/>
    <x v="3"/>
    <x v="0"/>
  </r>
  <r>
    <x v="50"/>
    <x v="23"/>
    <x v="79"/>
    <x v="10"/>
    <x v="87"/>
    <n v="1720"/>
    <x v="0"/>
    <x v="3"/>
    <x v="0"/>
  </r>
  <r>
    <x v="50"/>
    <x v="23"/>
    <x v="30"/>
    <x v="8"/>
    <x v="65"/>
    <n v="545"/>
    <x v="0"/>
    <x v="3"/>
    <x v="0"/>
  </r>
  <r>
    <x v="50"/>
    <x v="23"/>
    <x v="76"/>
    <x v="9"/>
    <x v="9"/>
    <n v="1935"/>
    <x v="0"/>
    <x v="3"/>
    <x v="0"/>
  </r>
  <r>
    <x v="50"/>
    <x v="23"/>
    <x v="75"/>
    <x v="8"/>
    <x v="28"/>
    <n v="800"/>
    <x v="0"/>
    <x v="3"/>
    <x v="0"/>
  </r>
  <r>
    <x v="50"/>
    <x v="23"/>
    <x v="71"/>
    <x v="8"/>
    <x v="65"/>
    <n v="545"/>
    <x v="0"/>
    <x v="3"/>
    <x v="0"/>
  </r>
  <r>
    <x v="51"/>
    <x v="4"/>
    <x v="5"/>
    <x v="1"/>
    <x v="2"/>
    <m/>
    <x v="142"/>
    <x v="3"/>
    <x v="0"/>
  </r>
  <r>
    <x v="51"/>
    <x v="4"/>
    <x v="7"/>
    <x v="0"/>
    <x v="93"/>
    <n v="1390"/>
    <x v="0"/>
    <x v="3"/>
    <x v="0"/>
  </r>
  <r>
    <x v="51"/>
    <x v="4"/>
    <x v="7"/>
    <x v="12"/>
    <x v="39"/>
    <n v="1750"/>
    <x v="0"/>
    <x v="3"/>
    <x v="0"/>
  </r>
  <r>
    <x v="51"/>
    <x v="4"/>
    <x v="5"/>
    <x v="1"/>
    <x v="2"/>
    <m/>
    <x v="161"/>
    <x v="3"/>
    <x v="0"/>
  </r>
  <r>
    <x v="51"/>
    <x v="4"/>
    <x v="4"/>
    <x v="12"/>
    <x v="94"/>
    <n v="950"/>
    <x v="0"/>
    <x v="3"/>
    <x v="0"/>
  </r>
  <r>
    <x v="51"/>
    <x v="4"/>
    <x v="33"/>
    <x v="10"/>
    <x v="21"/>
    <n v="432"/>
    <x v="0"/>
    <x v="3"/>
    <x v="0"/>
  </r>
  <r>
    <x v="51"/>
    <x v="4"/>
    <x v="10"/>
    <x v="8"/>
    <x v="11"/>
    <n v="550"/>
    <x v="0"/>
    <x v="3"/>
    <x v="0"/>
  </r>
  <r>
    <x v="51"/>
    <x v="4"/>
    <x v="5"/>
    <x v="1"/>
    <x v="2"/>
    <m/>
    <x v="162"/>
    <x v="3"/>
    <x v="0"/>
  </r>
  <r>
    <x v="51"/>
    <x v="4"/>
    <x v="17"/>
    <x v="8"/>
    <x v="8"/>
    <n v="750"/>
    <x v="0"/>
    <x v="3"/>
    <x v="0"/>
  </r>
  <r>
    <x v="51"/>
    <x v="4"/>
    <x v="10"/>
    <x v="10"/>
    <x v="11"/>
    <n v="1100"/>
    <x v="0"/>
    <x v="3"/>
    <x v="0"/>
  </r>
  <r>
    <x v="51"/>
    <x v="4"/>
    <x v="73"/>
    <x v="10"/>
    <x v="11"/>
    <n v="1100"/>
    <x v="0"/>
    <x v="3"/>
    <x v="0"/>
  </r>
  <r>
    <x v="51"/>
    <x v="4"/>
    <x v="4"/>
    <x v="10"/>
    <x v="94"/>
    <n v="380"/>
    <x v="0"/>
    <x v="3"/>
    <x v="0"/>
  </r>
  <r>
    <x v="51"/>
    <x v="4"/>
    <x v="38"/>
    <x v="8"/>
    <x v="87"/>
    <n v="860"/>
    <x v="0"/>
    <x v="3"/>
    <x v="0"/>
  </r>
  <r>
    <x v="51"/>
    <x v="4"/>
    <x v="77"/>
    <x v="8"/>
    <x v="87"/>
    <n v="860"/>
    <x v="0"/>
    <x v="3"/>
    <x v="0"/>
  </r>
  <r>
    <x v="51"/>
    <x v="4"/>
    <x v="4"/>
    <x v="8"/>
    <x v="94"/>
    <m/>
    <x v="0"/>
    <x v="3"/>
    <x v="0"/>
  </r>
  <r>
    <x v="51"/>
    <x v="4"/>
    <x v="5"/>
    <x v="1"/>
    <x v="2"/>
    <m/>
    <x v="163"/>
    <x v="3"/>
    <x v="0"/>
  </r>
  <r>
    <x v="51"/>
    <x v="4"/>
    <x v="8"/>
    <x v="8"/>
    <x v="12"/>
    <n v="540"/>
    <x v="0"/>
    <x v="3"/>
    <x v="0"/>
  </r>
  <r>
    <x v="51"/>
    <x v="4"/>
    <x v="49"/>
    <x v="35"/>
    <x v="38"/>
    <n v="400"/>
    <x v="0"/>
    <x v="3"/>
    <x v="0"/>
  </r>
  <r>
    <x v="51"/>
    <x v="4"/>
    <x v="5"/>
    <x v="1"/>
    <x v="2"/>
    <m/>
    <x v="164"/>
    <x v="3"/>
    <x v="0"/>
  </r>
  <r>
    <x v="51"/>
    <x v="4"/>
    <x v="31"/>
    <x v="3"/>
    <x v="95"/>
    <n v="1950"/>
    <x v="0"/>
    <x v="3"/>
    <x v="0"/>
  </r>
  <r>
    <x v="51"/>
    <x v="4"/>
    <x v="33"/>
    <x v="12"/>
    <x v="95"/>
    <n v="975"/>
    <x v="0"/>
    <x v="3"/>
    <x v="0"/>
  </r>
  <r>
    <x v="51"/>
    <x v="4"/>
    <x v="32"/>
    <x v="12"/>
    <x v="96"/>
    <n v="1190"/>
    <x v="0"/>
    <x v="3"/>
    <x v="0"/>
  </r>
  <r>
    <x v="51"/>
    <x v="4"/>
    <x v="10"/>
    <x v="12"/>
    <x v="97"/>
    <n v="2740"/>
    <x v="0"/>
    <x v="3"/>
    <x v="0"/>
  </r>
  <r>
    <x v="51"/>
    <x v="4"/>
    <x v="73"/>
    <x v="9"/>
    <x v="97"/>
    <n v="1644"/>
    <x v="0"/>
    <x v="3"/>
    <x v="0"/>
  </r>
  <r>
    <x v="51"/>
    <x v="4"/>
    <x v="17"/>
    <x v="9"/>
    <x v="98"/>
    <n v="2214"/>
    <x v="0"/>
    <x v="3"/>
    <x v="0"/>
  </r>
  <r>
    <x v="51"/>
    <x v="4"/>
    <x v="4"/>
    <x v="10"/>
    <x v="94"/>
    <m/>
    <x v="0"/>
    <x v="3"/>
    <x v="0"/>
  </r>
  <r>
    <x v="51"/>
    <x v="8"/>
    <x v="5"/>
    <x v="1"/>
    <x v="2"/>
    <m/>
    <x v="165"/>
    <x v="3"/>
    <x v="0"/>
  </r>
  <r>
    <x v="52"/>
    <x v="15"/>
    <x v="5"/>
    <x v="1"/>
    <x v="2"/>
    <m/>
    <x v="91"/>
    <x v="3"/>
    <x v="0"/>
  </r>
  <r>
    <x v="52"/>
    <x v="15"/>
    <x v="39"/>
    <x v="4"/>
    <x v="26"/>
    <n v="6600"/>
    <x v="0"/>
    <x v="3"/>
    <x v="0"/>
  </r>
  <r>
    <x v="53"/>
    <x v="12"/>
    <x v="5"/>
    <x v="1"/>
    <x v="2"/>
    <m/>
    <x v="166"/>
    <x v="3"/>
    <x v="0"/>
  </r>
  <r>
    <x v="53"/>
    <x v="12"/>
    <x v="49"/>
    <x v="53"/>
    <x v="43"/>
    <n v="2280"/>
    <x v="0"/>
    <x v="3"/>
    <x v="0"/>
  </r>
  <r>
    <x v="54"/>
    <x v="24"/>
    <x v="5"/>
    <x v="1"/>
    <x v="2"/>
    <m/>
    <x v="167"/>
    <x v="4"/>
    <x v="0"/>
  </r>
  <r>
    <x v="54"/>
    <x v="24"/>
    <x v="7"/>
    <x v="3"/>
    <x v="18"/>
    <n v="3420"/>
    <x v="0"/>
    <x v="4"/>
    <x v="0"/>
  </r>
  <r>
    <x v="54"/>
    <x v="24"/>
    <x v="80"/>
    <x v="0"/>
    <x v="4"/>
    <n v="1380"/>
    <x v="0"/>
    <x v="4"/>
    <x v="0"/>
  </r>
  <r>
    <x v="54"/>
    <x v="24"/>
    <x v="81"/>
    <x v="0"/>
    <x v="4"/>
    <n v="1380"/>
    <x v="0"/>
    <x v="4"/>
    <x v="0"/>
  </r>
  <r>
    <x v="54"/>
    <x v="0"/>
    <x v="5"/>
    <x v="1"/>
    <x v="2"/>
    <m/>
    <x v="168"/>
    <x v="4"/>
    <x v="0"/>
  </r>
  <r>
    <x v="54"/>
    <x v="0"/>
    <x v="39"/>
    <x v="4"/>
    <x v="26"/>
    <n v="6600"/>
    <x v="0"/>
    <x v="4"/>
    <x v="0"/>
  </r>
  <r>
    <x v="54"/>
    <x v="0"/>
    <x v="80"/>
    <x v="0"/>
    <x v="4"/>
    <n v="1380"/>
    <x v="0"/>
    <x v="4"/>
    <x v="0"/>
  </r>
  <r>
    <x v="54"/>
    <x v="0"/>
    <x v="81"/>
    <x v="0"/>
    <x v="4"/>
    <n v="1380"/>
    <x v="0"/>
    <x v="4"/>
    <x v="0"/>
  </r>
  <r>
    <x v="54"/>
    <x v="21"/>
    <x v="5"/>
    <x v="1"/>
    <x v="2"/>
    <m/>
    <x v="169"/>
    <x v="4"/>
    <x v="0"/>
  </r>
  <r>
    <x v="54"/>
    <x v="21"/>
    <x v="80"/>
    <x v="0"/>
    <x v="4"/>
    <n v="1380"/>
    <x v="0"/>
    <x v="4"/>
    <x v="0"/>
  </r>
  <r>
    <x v="54"/>
    <x v="21"/>
    <x v="39"/>
    <x v="3"/>
    <x v="26"/>
    <n v="3300"/>
    <x v="0"/>
    <x v="4"/>
    <x v="0"/>
  </r>
  <r>
    <x v="54"/>
    <x v="21"/>
    <x v="4"/>
    <x v="12"/>
    <x v="1"/>
    <n v="900"/>
    <x v="0"/>
    <x v="4"/>
    <x v="0"/>
  </r>
  <r>
    <x v="54"/>
    <x v="21"/>
    <x v="81"/>
    <x v="0"/>
    <x v="4"/>
    <n v="1380"/>
    <x v="0"/>
    <x v="4"/>
    <x v="0"/>
  </r>
  <r>
    <x v="54"/>
    <x v="31"/>
    <x v="5"/>
    <x v="1"/>
    <x v="2"/>
    <m/>
    <x v="170"/>
    <x v="4"/>
    <x v="0"/>
  </r>
  <r>
    <x v="54"/>
    <x v="31"/>
    <x v="62"/>
    <x v="11"/>
    <x v="78"/>
    <n v="1670"/>
    <x v="0"/>
    <x v="4"/>
    <x v="0"/>
  </r>
  <r>
    <x v="54"/>
    <x v="31"/>
    <x v="78"/>
    <x v="3"/>
    <x v="99"/>
    <n v="1177"/>
    <x v="0"/>
    <x v="4"/>
    <x v="0"/>
  </r>
  <r>
    <x v="54"/>
    <x v="15"/>
    <x v="5"/>
    <x v="1"/>
    <x v="2"/>
    <m/>
    <x v="171"/>
    <x v="4"/>
    <x v="0"/>
  </r>
  <r>
    <x v="54"/>
    <x v="15"/>
    <x v="68"/>
    <x v="12"/>
    <x v="100"/>
    <n v="2732"/>
    <x v="0"/>
    <x v="4"/>
    <x v="0"/>
  </r>
  <r>
    <x v="54"/>
    <x v="15"/>
    <x v="62"/>
    <x v="3"/>
    <x v="101"/>
    <n v="2783"/>
    <x v="0"/>
    <x v="4"/>
    <x v="0"/>
  </r>
  <r>
    <x v="54"/>
    <x v="15"/>
    <x v="78"/>
    <x v="4"/>
    <x v="99"/>
    <n v="2354"/>
    <x v="0"/>
    <x v="4"/>
    <x v="0"/>
  </r>
  <r>
    <x v="54"/>
    <x v="8"/>
    <x v="5"/>
    <x v="1"/>
    <x v="2"/>
    <m/>
    <x v="172"/>
    <x v="4"/>
    <x v="0"/>
  </r>
  <r>
    <x v="55"/>
    <x v="10"/>
    <x v="5"/>
    <x v="1"/>
    <x v="2"/>
    <m/>
    <x v="173"/>
    <x v="4"/>
    <x v="0"/>
  </r>
  <r>
    <x v="55"/>
    <x v="10"/>
    <x v="8"/>
    <x v="12"/>
    <x v="12"/>
    <n v="2700"/>
    <x v="0"/>
    <x v="4"/>
    <x v="0"/>
  </r>
  <r>
    <x v="55"/>
    <x v="10"/>
    <x v="74"/>
    <x v="8"/>
    <x v="9"/>
    <n v="645"/>
    <x v="0"/>
    <x v="4"/>
    <x v="0"/>
  </r>
  <r>
    <x v="55"/>
    <x v="10"/>
    <x v="7"/>
    <x v="9"/>
    <x v="39"/>
    <n v="1050"/>
    <x v="0"/>
    <x v="4"/>
    <x v="0"/>
  </r>
  <r>
    <x v="55"/>
    <x v="10"/>
    <x v="35"/>
    <x v="9"/>
    <x v="21"/>
    <n v="648"/>
    <x v="0"/>
    <x v="4"/>
    <x v="0"/>
  </r>
  <r>
    <x v="55"/>
    <x v="10"/>
    <x v="39"/>
    <x v="3"/>
    <x v="6"/>
    <n v="3350"/>
    <x v="0"/>
    <x v="4"/>
    <x v="0"/>
  </r>
  <r>
    <x v="55"/>
    <x v="10"/>
    <x v="80"/>
    <x v="8"/>
    <x v="39"/>
    <n v="350"/>
    <x v="0"/>
    <x v="4"/>
    <x v="0"/>
  </r>
  <r>
    <x v="55"/>
    <x v="10"/>
    <x v="81"/>
    <x v="8"/>
    <x v="39"/>
    <n v="350"/>
    <x v="0"/>
    <x v="4"/>
    <x v="0"/>
  </r>
  <r>
    <x v="55"/>
    <x v="30"/>
    <x v="5"/>
    <x v="1"/>
    <x v="2"/>
    <m/>
    <x v="174"/>
    <x v="4"/>
    <x v="0"/>
  </r>
  <r>
    <x v="55"/>
    <x v="30"/>
    <x v="3"/>
    <x v="8"/>
    <x v="9"/>
    <n v="645"/>
    <x v="0"/>
    <x v="4"/>
    <x v="0"/>
  </r>
  <r>
    <x v="55"/>
    <x v="30"/>
    <x v="1"/>
    <x v="8"/>
    <x v="9"/>
    <n v="645"/>
    <x v="0"/>
    <x v="4"/>
    <x v="0"/>
  </r>
  <r>
    <x v="55"/>
    <x v="30"/>
    <x v="80"/>
    <x v="8"/>
    <x v="39"/>
    <n v="350"/>
    <x v="0"/>
    <x v="4"/>
    <x v="0"/>
  </r>
  <r>
    <x v="55"/>
    <x v="30"/>
    <x v="81"/>
    <x v="8"/>
    <x v="39"/>
    <n v="350"/>
    <x v="0"/>
    <x v="4"/>
    <x v="0"/>
  </r>
  <r>
    <x v="55"/>
    <x v="30"/>
    <x v="7"/>
    <x v="10"/>
    <x v="39"/>
    <n v="700"/>
    <x v="0"/>
    <x v="4"/>
    <x v="0"/>
  </r>
  <r>
    <x v="55"/>
    <x v="30"/>
    <x v="39"/>
    <x v="10"/>
    <x v="6"/>
    <n v="670"/>
    <x v="0"/>
    <x v="4"/>
    <x v="0"/>
  </r>
  <r>
    <x v="55"/>
    <x v="30"/>
    <x v="8"/>
    <x v="10"/>
    <x v="12"/>
    <n v="1080"/>
    <x v="0"/>
    <x v="4"/>
    <x v="0"/>
  </r>
  <r>
    <x v="55"/>
    <x v="30"/>
    <x v="58"/>
    <x v="8"/>
    <x v="45"/>
    <n v="220"/>
    <x v="0"/>
    <x v="4"/>
    <x v="0"/>
  </r>
  <r>
    <x v="55"/>
    <x v="30"/>
    <x v="30"/>
    <x v="8"/>
    <x v="12"/>
    <n v="540"/>
    <x v="0"/>
    <x v="4"/>
    <x v="0"/>
  </r>
  <r>
    <x v="55"/>
    <x v="30"/>
    <x v="5"/>
    <x v="1"/>
    <x v="2"/>
    <m/>
    <x v="175"/>
    <x v="4"/>
    <x v="0"/>
  </r>
  <r>
    <x v="55"/>
    <x v="30"/>
    <x v="73"/>
    <x v="10"/>
    <x v="12"/>
    <n v="1080"/>
    <x v="0"/>
    <x v="4"/>
    <x v="0"/>
  </r>
  <r>
    <x v="55"/>
    <x v="30"/>
    <x v="74"/>
    <x v="10"/>
    <x v="9"/>
    <n v="1290"/>
    <x v="0"/>
    <x v="4"/>
    <x v="0"/>
  </r>
  <r>
    <x v="55"/>
    <x v="30"/>
    <x v="19"/>
    <x v="10"/>
    <x v="9"/>
    <n v="1290"/>
    <x v="0"/>
    <x v="4"/>
    <x v="0"/>
  </r>
  <r>
    <x v="55"/>
    <x v="23"/>
    <x v="5"/>
    <x v="1"/>
    <x v="2"/>
    <m/>
    <x v="176"/>
    <x v="4"/>
    <x v="0"/>
  </r>
  <r>
    <x v="55"/>
    <x v="23"/>
    <x v="39"/>
    <x v="12"/>
    <x v="6"/>
    <n v="1675"/>
    <x v="0"/>
    <x v="4"/>
    <x v="0"/>
  </r>
  <r>
    <x v="55"/>
    <x v="23"/>
    <x v="82"/>
    <x v="8"/>
    <x v="19"/>
    <n v="680"/>
    <x v="0"/>
    <x v="4"/>
    <x v="0"/>
  </r>
  <r>
    <x v="55"/>
    <x v="23"/>
    <x v="80"/>
    <x v="8"/>
    <x v="39"/>
    <n v="350"/>
    <x v="0"/>
    <x v="4"/>
    <x v="0"/>
  </r>
  <r>
    <x v="55"/>
    <x v="23"/>
    <x v="32"/>
    <x v="9"/>
    <x v="22"/>
    <n v="750"/>
    <x v="0"/>
    <x v="4"/>
    <x v="0"/>
  </r>
  <r>
    <x v="55"/>
    <x v="23"/>
    <x v="33"/>
    <x v="33"/>
    <x v="21"/>
    <n v="1512"/>
    <x v="0"/>
    <x v="4"/>
    <x v="0"/>
  </r>
  <r>
    <x v="55"/>
    <x v="23"/>
    <x v="24"/>
    <x v="10"/>
    <x v="46"/>
    <n v="800"/>
    <x v="0"/>
    <x v="4"/>
    <x v="0"/>
  </r>
  <r>
    <x v="56"/>
    <x v="1"/>
    <x v="5"/>
    <x v="1"/>
    <x v="2"/>
    <m/>
    <x v="20"/>
    <x v="4"/>
    <x v="0"/>
  </r>
  <r>
    <x v="56"/>
    <x v="1"/>
    <x v="39"/>
    <x v="3"/>
    <x v="26"/>
    <n v="3300"/>
    <x v="0"/>
    <x v="4"/>
    <x v="0"/>
  </r>
  <r>
    <x v="57"/>
    <x v="15"/>
    <x v="5"/>
    <x v="1"/>
    <x v="2"/>
    <m/>
    <x v="177"/>
    <x v="4"/>
    <x v="0"/>
  </r>
  <r>
    <x v="57"/>
    <x v="15"/>
    <x v="39"/>
    <x v="9"/>
    <x v="58"/>
    <n v="1000"/>
    <x v="0"/>
    <x v="4"/>
    <x v="0"/>
  </r>
  <r>
    <x v="57"/>
    <x v="15"/>
    <x v="8"/>
    <x v="8"/>
    <x v="12"/>
    <n v="540"/>
    <x v="0"/>
    <x v="4"/>
    <x v="0"/>
  </r>
  <r>
    <x v="57"/>
    <x v="15"/>
    <x v="49"/>
    <x v="35"/>
    <x v="43"/>
    <n v="380"/>
    <x v="0"/>
    <x v="4"/>
    <x v="0"/>
  </r>
  <r>
    <x v="57"/>
    <x v="15"/>
    <x v="39"/>
    <x v="8"/>
    <x v="34"/>
    <n v="340"/>
    <x v="0"/>
    <x v="4"/>
    <x v="0"/>
  </r>
  <r>
    <x v="57"/>
    <x v="15"/>
    <x v="8"/>
    <x v="8"/>
    <x v="80"/>
    <n v="530"/>
    <x v="0"/>
    <x v="4"/>
    <x v="0"/>
  </r>
  <r>
    <x v="57"/>
    <x v="27"/>
    <x v="5"/>
    <x v="1"/>
    <x v="2"/>
    <m/>
    <x v="0"/>
    <x v="4"/>
    <x v="0"/>
  </r>
  <r>
    <x v="57"/>
    <x v="27"/>
    <x v="5"/>
    <x v="1"/>
    <x v="2"/>
    <m/>
    <x v="0"/>
    <x v="4"/>
    <x v="0"/>
  </r>
  <r>
    <x v="58"/>
    <x v="5"/>
    <x v="5"/>
    <x v="1"/>
    <x v="2"/>
    <m/>
    <x v="178"/>
    <x v="4"/>
    <x v="0"/>
  </r>
  <r>
    <x v="58"/>
    <x v="5"/>
    <x v="82"/>
    <x v="10"/>
    <x v="23"/>
    <n v="1300"/>
    <x v="0"/>
    <x v="4"/>
    <x v="0"/>
  </r>
  <r>
    <x v="58"/>
    <x v="5"/>
    <x v="49"/>
    <x v="54"/>
    <x v="43"/>
    <n v="15200"/>
    <x v="0"/>
    <x v="4"/>
    <x v="0"/>
  </r>
  <r>
    <x v="58"/>
    <x v="5"/>
    <x v="39"/>
    <x v="3"/>
    <x v="26"/>
    <n v="3300"/>
    <x v="0"/>
    <x v="4"/>
    <x v="0"/>
  </r>
  <r>
    <x v="58"/>
    <x v="5"/>
    <x v="8"/>
    <x v="33"/>
    <x v="5"/>
    <n v="3675"/>
    <x v="0"/>
    <x v="4"/>
    <x v="0"/>
  </r>
  <r>
    <x v="58"/>
    <x v="5"/>
    <x v="80"/>
    <x v="45"/>
    <x v="4"/>
    <n v="2760"/>
    <x v="0"/>
    <x v="4"/>
    <x v="0"/>
  </r>
  <r>
    <x v="58"/>
    <x v="5"/>
    <x v="81"/>
    <x v="45"/>
    <x v="4"/>
    <n v="2760"/>
    <x v="0"/>
    <x v="4"/>
    <x v="0"/>
  </r>
  <r>
    <x v="58"/>
    <x v="5"/>
    <x v="10"/>
    <x v="11"/>
    <x v="30"/>
    <n v="3210"/>
    <x v="0"/>
    <x v="4"/>
    <x v="0"/>
  </r>
  <r>
    <x v="58"/>
    <x v="5"/>
    <x v="30"/>
    <x v="8"/>
    <x v="30"/>
    <n v="535"/>
    <x v="0"/>
    <x v="4"/>
    <x v="0"/>
  </r>
  <r>
    <x v="58"/>
    <x v="5"/>
    <x v="58"/>
    <x v="3"/>
    <x v="51"/>
    <n v="2150"/>
    <x v="0"/>
    <x v="4"/>
    <x v="0"/>
  </r>
  <r>
    <x v="58"/>
    <x v="5"/>
    <x v="58"/>
    <x v="14"/>
    <x v="51"/>
    <n v="3225"/>
    <x v="0"/>
    <x v="4"/>
    <x v="0"/>
  </r>
  <r>
    <x v="58"/>
    <x v="5"/>
    <x v="22"/>
    <x v="10"/>
    <x v="14"/>
    <n v="1000"/>
    <x v="0"/>
    <x v="4"/>
    <x v="0"/>
  </r>
  <r>
    <x v="58"/>
    <x v="5"/>
    <x v="25"/>
    <x v="9"/>
    <x v="23"/>
    <n v="1950"/>
    <x v="0"/>
    <x v="4"/>
    <x v="0"/>
  </r>
  <r>
    <x v="58"/>
    <x v="5"/>
    <x v="43"/>
    <x v="12"/>
    <x v="37"/>
    <n v="1500"/>
    <x v="0"/>
    <x v="4"/>
    <x v="0"/>
  </r>
  <r>
    <x v="58"/>
    <x v="1"/>
    <x v="5"/>
    <x v="1"/>
    <x v="2"/>
    <m/>
    <x v="179"/>
    <x v="4"/>
    <x v="0"/>
  </r>
  <r>
    <x v="58"/>
    <x v="1"/>
    <x v="39"/>
    <x v="55"/>
    <x v="26"/>
    <n v="4620"/>
    <x v="0"/>
    <x v="4"/>
    <x v="0"/>
  </r>
  <r>
    <x v="58"/>
    <x v="1"/>
    <x v="43"/>
    <x v="10"/>
    <x v="39"/>
    <n v="700"/>
    <x v="0"/>
    <x v="4"/>
    <x v="0"/>
  </r>
  <r>
    <x v="58"/>
    <x v="38"/>
    <x v="5"/>
    <x v="1"/>
    <x v="2"/>
    <m/>
    <x v="180"/>
    <x v="4"/>
    <x v="0"/>
  </r>
  <r>
    <x v="58"/>
    <x v="38"/>
    <x v="83"/>
    <x v="46"/>
    <x v="102"/>
    <n v="4320"/>
    <x v="0"/>
    <x v="4"/>
    <x v="0"/>
  </r>
  <r>
    <x v="58"/>
    <x v="38"/>
    <x v="46"/>
    <x v="18"/>
    <x v="102"/>
    <n v="2880"/>
    <x v="0"/>
    <x v="4"/>
    <x v="0"/>
  </r>
  <r>
    <x v="58"/>
    <x v="38"/>
    <x v="84"/>
    <x v="46"/>
    <x v="102"/>
    <n v="4320"/>
    <x v="0"/>
    <x v="4"/>
    <x v="0"/>
  </r>
  <r>
    <x v="58"/>
    <x v="38"/>
    <x v="47"/>
    <x v="18"/>
    <x v="103"/>
    <n v="1000"/>
    <x v="0"/>
    <x v="4"/>
    <x v="0"/>
  </r>
  <r>
    <x v="58"/>
    <x v="38"/>
    <x v="45"/>
    <x v="4"/>
    <x v="104"/>
    <n v="840"/>
    <x v="0"/>
    <x v="4"/>
    <x v="0"/>
  </r>
  <r>
    <x v="59"/>
    <x v="29"/>
    <x v="5"/>
    <x v="1"/>
    <x v="2"/>
    <m/>
    <x v="181"/>
    <x v="4"/>
    <x v="0"/>
  </r>
  <r>
    <x v="59"/>
    <x v="29"/>
    <x v="68"/>
    <x v="47"/>
    <x v="12"/>
    <n v="9720"/>
    <x v="0"/>
    <x v="4"/>
    <x v="0"/>
  </r>
  <r>
    <x v="59"/>
    <x v="15"/>
    <x v="5"/>
    <x v="1"/>
    <x v="2"/>
    <m/>
    <x v="182"/>
    <x v="4"/>
    <x v="0"/>
  </r>
  <r>
    <x v="59"/>
    <x v="15"/>
    <x v="39"/>
    <x v="3"/>
    <x v="26"/>
    <n v="3300"/>
    <x v="0"/>
    <x v="4"/>
    <x v="0"/>
  </r>
  <r>
    <x v="59"/>
    <x v="15"/>
    <x v="7"/>
    <x v="12"/>
    <x v="4"/>
    <n v="1725"/>
    <x v="0"/>
    <x v="4"/>
    <x v="0"/>
  </r>
  <r>
    <x v="59"/>
    <x v="15"/>
    <x v="49"/>
    <x v="38"/>
    <x v="43"/>
    <n v="3800"/>
    <x v="0"/>
    <x v="4"/>
    <x v="0"/>
  </r>
  <r>
    <x v="59"/>
    <x v="1"/>
    <x v="5"/>
    <x v="1"/>
    <x v="2"/>
    <m/>
    <x v="28"/>
    <x v="4"/>
    <x v="0"/>
  </r>
  <r>
    <x v="59"/>
    <x v="1"/>
    <x v="39"/>
    <x v="20"/>
    <x v="26"/>
    <n v="16500"/>
    <x v="0"/>
    <x v="4"/>
    <x v="0"/>
  </r>
  <r>
    <x v="59"/>
    <x v="24"/>
    <x v="5"/>
    <x v="1"/>
    <x v="2"/>
    <m/>
    <x v="91"/>
    <x v="4"/>
    <x v="0"/>
  </r>
  <r>
    <x v="59"/>
    <x v="24"/>
    <x v="39"/>
    <x v="4"/>
    <x v="26"/>
    <n v="6600"/>
    <x v="0"/>
    <x v="4"/>
    <x v="0"/>
  </r>
  <r>
    <x v="60"/>
    <x v="1"/>
    <x v="5"/>
    <x v="1"/>
    <x v="2"/>
    <m/>
    <x v="183"/>
    <x v="4"/>
    <x v="0"/>
  </r>
  <r>
    <x v="60"/>
    <x v="1"/>
    <x v="7"/>
    <x v="14"/>
    <x v="4"/>
    <n v="5175"/>
    <x v="0"/>
    <x v="4"/>
    <x v="0"/>
  </r>
  <r>
    <x v="60"/>
    <x v="29"/>
    <x v="5"/>
    <x v="1"/>
    <x v="2"/>
    <m/>
    <x v="184"/>
    <x v="4"/>
    <x v="0"/>
  </r>
  <r>
    <x v="60"/>
    <x v="29"/>
    <x v="66"/>
    <x v="0"/>
    <x v="105"/>
    <n v="10440"/>
    <x v="0"/>
    <x v="4"/>
    <x v="0"/>
  </r>
  <r>
    <x v="60"/>
    <x v="12"/>
    <x v="5"/>
    <x v="1"/>
    <x v="2"/>
    <m/>
    <x v="174"/>
    <x v="4"/>
    <x v="0"/>
  </r>
  <r>
    <x v="60"/>
    <x v="12"/>
    <x v="39"/>
    <x v="3"/>
    <x v="26"/>
    <n v="3300"/>
    <x v="0"/>
    <x v="4"/>
    <x v="0"/>
  </r>
  <r>
    <x v="60"/>
    <x v="12"/>
    <x v="49"/>
    <x v="43"/>
    <x v="43"/>
    <n v="1900"/>
    <x v="0"/>
    <x v="4"/>
    <x v="0"/>
  </r>
  <r>
    <x v="60"/>
    <x v="0"/>
    <x v="5"/>
    <x v="1"/>
    <x v="2"/>
    <m/>
    <x v="185"/>
    <x v="4"/>
    <x v="0"/>
  </r>
  <r>
    <x v="60"/>
    <x v="0"/>
    <x v="68"/>
    <x v="11"/>
    <x v="77"/>
    <n v="3280"/>
    <x v="0"/>
    <x v="4"/>
    <x v="0"/>
  </r>
  <r>
    <x v="60"/>
    <x v="0"/>
    <x v="78"/>
    <x v="3"/>
    <x v="106"/>
    <n v="1175"/>
    <x v="0"/>
    <x v="4"/>
    <x v="0"/>
  </r>
  <r>
    <x v="61"/>
    <x v="31"/>
    <x v="5"/>
    <x v="1"/>
    <x v="2"/>
    <m/>
    <x v="186"/>
    <x v="4"/>
    <x v="0"/>
  </r>
  <r>
    <x v="61"/>
    <x v="31"/>
    <x v="68"/>
    <x v="3"/>
    <x v="107"/>
    <n v="5465"/>
    <x v="0"/>
    <x v="4"/>
    <x v="0"/>
  </r>
  <r>
    <x v="61"/>
    <x v="31"/>
    <x v="62"/>
    <x v="3"/>
    <x v="101"/>
    <n v="2783"/>
    <x v="0"/>
    <x v="4"/>
    <x v="0"/>
  </r>
  <r>
    <x v="61"/>
    <x v="31"/>
    <x v="78"/>
    <x v="4"/>
    <x v="108"/>
    <n v="2355"/>
    <x v="0"/>
    <x v="4"/>
    <x v="0"/>
  </r>
  <r>
    <x v="61"/>
    <x v="39"/>
    <x v="5"/>
    <x v="1"/>
    <x v="2"/>
    <m/>
    <x v="187"/>
    <x v="4"/>
    <x v="0"/>
  </r>
  <r>
    <x v="61"/>
    <x v="39"/>
    <x v="68"/>
    <x v="10"/>
    <x v="107"/>
    <n v="1093"/>
    <x v="0"/>
    <x v="4"/>
    <x v="0"/>
  </r>
  <r>
    <x v="61"/>
    <x v="39"/>
    <x v="62"/>
    <x v="0"/>
    <x v="109"/>
    <n v="1113"/>
    <x v="0"/>
    <x v="4"/>
    <x v="0"/>
  </r>
  <r>
    <x v="61"/>
    <x v="39"/>
    <x v="78"/>
    <x v="12"/>
    <x v="110"/>
    <n v="588"/>
    <x v="0"/>
    <x v="4"/>
    <x v="0"/>
  </r>
  <r>
    <x v="61"/>
    <x v="40"/>
    <x v="5"/>
    <x v="1"/>
    <x v="2"/>
    <m/>
    <x v="188"/>
    <x v="4"/>
    <x v="0"/>
  </r>
  <r>
    <x v="61"/>
    <x v="40"/>
    <x v="68"/>
    <x v="12"/>
    <x v="100"/>
    <n v="2732"/>
    <x v="0"/>
    <x v="4"/>
    <x v="0"/>
  </r>
  <r>
    <x v="61"/>
    <x v="40"/>
    <x v="62"/>
    <x v="3"/>
    <x v="101"/>
    <n v="2783"/>
    <x v="0"/>
    <x v="4"/>
    <x v="0"/>
  </r>
  <r>
    <x v="61"/>
    <x v="8"/>
    <x v="5"/>
    <x v="1"/>
    <x v="2"/>
    <m/>
    <x v="189"/>
    <x v="4"/>
    <x v="0"/>
  </r>
  <r>
    <x v="61"/>
    <x v="41"/>
    <x v="5"/>
    <x v="1"/>
    <x v="2"/>
    <m/>
    <x v="170"/>
    <x v="4"/>
    <x v="0"/>
  </r>
  <r>
    <x v="61"/>
    <x v="41"/>
    <x v="62"/>
    <x v="11"/>
    <x v="78"/>
    <n v="1670"/>
    <x v="0"/>
    <x v="4"/>
    <x v="0"/>
  </r>
  <r>
    <x v="61"/>
    <x v="41"/>
    <x v="78"/>
    <x v="3"/>
    <x v="99"/>
    <n v="1177"/>
    <x v="0"/>
    <x v="4"/>
    <x v="0"/>
  </r>
  <r>
    <x v="61"/>
    <x v="33"/>
    <x v="5"/>
    <x v="1"/>
    <x v="2"/>
    <m/>
    <x v="190"/>
    <x v="4"/>
    <x v="0"/>
  </r>
  <r>
    <x v="61"/>
    <x v="33"/>
    <x v="78"/>
    <x v="51"/>
    <x v="99"/>
    <n v="7062"/>
    <x v="0"/>
    <x v="4"/>
    <x v="0"/>
  </r>
  <r>
    <x v="62"/>
    <x v="29"/>
    <x v="5"/>
    <x v="1"/>
    <x v="2"/>
    <m/>
    <x v="110"/>
    <x v="4"/>
    <x v="0"/>
  </r>
  <r>
    <x v="62"/>
    <x v="29"/>
    <x v="62"/>
    <x v="46"/>
    <x v="74"/>
    <n v="9882"/>
    <x v="0"/>
    <x v="4"/>
    <x v="0"/>
  </r>
  <r>
    <x v="62"/>
    <x v="16"/>
    <x v="5"/>
    <x v="1"/>
    <x v="2"/>
    <m/>
    <x v="191"/>
    <x v="4"/>
    <x v="0"/>
  </r>
  <r>
    <x v="62"/>
    <x v="16"/>
    <x v="68"/>
    <x v="12"/>
    <x v="65"/>
    <n v="2725"/>
    <x v="0"/>
    <x v="4"/>
    <x v="0"/>
  </r>
  <r>
    <x v="62"/>
    <x v="16"/>
    <x v="62"/>
    <x v="11"/>
    <x v="74"/>
    <n v="1647"/>
    <x v="0"/>
    <x v="4"/>
    <x v="0"/>
  </r>
  <r>
    <x v="62"/>
    <x v="16"/>
    <x v="78"/>
    <x v="3"/>
    <x v="111"/>
    <n v="1163"/>
    <x v="0"/>
    <x v="4"/>
    <x v="0"/>
  </r>
  <r>
    <x v="62"/>
    <x v="17"/>
    <x v="5"/>
    <x v="1"/>
    <x v="2"/>
    <m/>
    <x v="20"/>
    <x v="4"/>
    <x v="0"/>
  </r>
  <r>
    <x v="62"/>
    <x v="17"/>
    <x v="39"/>
    <x v="3"/>
    <x v="26"/>
    <n v="3300"/>
    <x v="0"/>
    <x v="4"/>
    <x v="0"/>
  </r>
  <r>
    <x v="63"/>
    <x v="1"/>
    <x v="5"/>
    <x v="1"/>
    <x v="2"/>
    <m/>
    <x v="3"/>
    <x v="4"/>
    <x v="0"/>
  </r>
  <r>
    <x v="63"/>
    <x v="1"/>
    <x v="7"/>
    <x v="9"/>
    <x v="4"/>
    <n v="1035"/>
    <x v="0"/>
    <x v="4"/>
    <x v="0"/>
  </r>
  <r>
    <x v="63"/>
    <x v="1"/>
    <x v="7"/>
    <x v="0"/>
    <x v="4"/>
    <n v="1380"/>
    <x v="0"/>
    <x v="4"/>
    <x v="0"/>
  </r>
  <r>
    <x v="63"/>
    <x v="1"/>
    <x v="9"/>
    <x v="9"/>
    <x v="4"/>
    <n v="1035"/>
    <x v="0"/>
    <x v="4"/>
    <x v="0"/>
  </r>
  <r>
    <x v="64"/>
    <x v="42"/>
    <x v="5"/>
    <x v="1"/>
    <x v="2"/>
    <m/>
    <x v="192"/>
    <x v="4"/>
    <x v="0"/>
  </r>
  <r>
    <x v="64"/>
    <x v="42"/>
    <x v="85"/>
    <x v="56"/>
    <x v="42"/>
    <n v="38800"/>
    <x v="0"/>
    <x v="4"/>
    <x v="0"/>
  </r>
  <r>
    <x v="64"/>
    <x v="42"/>
    <x v="86"/>
    <x v="51"/>
    <x v="22"/>
    <n v="15000"/>
    <x v="0"/>
    <x v="4"/>
    <x v="0"/>
  </r>
  <r>
    <x v="64"/>
    <x v="17"/>
    <x v="5"/>
    <x v="1"/>
    <x v="2"/>
    <m/>
    <x v="91"/>
    <x v="4"/>
    <x v="0"/>
  </r>
  <r>
    <x v="64"/>
    <x v="17"/>
    <x v="39"/>
    <x v="4"/>
    <x v="26"/>
    <n v="6600"/>
    <x v="0"/>
    <x v="4"/>
    <x v="0"/>
  </r>
  <r>
    <x v="64"/>
    <x v="21"/>
    <x v="5"/>
    <x v="1"/>
    <x v="2"/>
    <m/>
    <x v="174"/>
    <x v="4"/>
    <x v="0"/>
  </r>
  <r>
    <x v="64"/>
    <x v="21"/>
    <x v="39"/>
    <x v="3"/>
    <x v="26"/>
    <n v="3300"/>
    <x v="0"/>
    <x v="4"/>
    <x v="0"/>
  </r>
  <r>
    <x v="64"/>
    <x v="21"/>
    <x v="49"/>
    <x v="43"/>
    <x v="43"/>
    <n v="1900"/>
    <x v="0"/>
    <x v="4"/>
    <x v="0"/>
  </r>
  <r>
    <x v="65"/>
    <x v="4"/>
    <x v="5"/>
    <x v="1"/>
    <x v="2"/>
    <m/>
    <x v="193"/>
    <x v="4"/>
    <x v="0"/>
  </r>
  <r>
    <x v="65"/>
    <x v="4"/>
    <x v="10"/>
    <x v="8"/>
    <x v="12"/>
    <n v="540"/>
    <x v="0"/>
    <x v="4"/>
    <x v="0"/>
  </r>
  <r>
    <x v="65"/>
    <x v="4"/>
    <x v="7"/>
    <x v="10"/>
    <x v="39"/>
    <n v="700"/>
    <x v="0"/>
    <x v="4"/>
    <x v="0"/>
  </r>
  <r>
    <x v="65"/>
    <x v="4"/>
    <x v="5"/>
    <x v="1"/>
    <x v="2"/>
    <m/>
    <x v="194"/>
    <x v="4"/>
    <x v="0"/>
  </r>
  <r>
    <x v="65"/>
    <x v="4"/>
    <x v="39"/>
    <x v="12"/>
    <x v="26"/>
    <n v="1650"/>
    <x v="0"/>
    <x v="4"/>
    <x v="0"/>
  </r>
  <r>
    <x v="65"/>
    <x v="4"/>
    <x v="49"/>
    <x v="28"/>
    <x v="44"/>
    <n v="975"/>
    <x v="0"/>
    <x v="4"/>
    <x v="0"/>
  </r>
  <r>
    <x v="65"/>
    <x v="4"/>
    <x v="63"/>
    <x v="8"/>
    <x v="112"/>
    <n v="747"/>
    <x v="0"/>
    <x v="4"/>
    <x v="0"/>
  </r>
  <r>
    <x v="65"/>
    <x v="4"/>
    <x v="7"/>
    <x v="8"/>
    <x v="39"/>
    <n v="350"/>
    <x v="0"/>
    <x v="4"/>
    <x v="0"/>
  </r>
  <r>
    <x v="65"/>
    <x v="4"/>
    <x v="4"/>
    <x v="10"/>
    <x v="1"/>
    <n v="360"/>
    <x v="0"/>
    <x v="4"/>
    <x v="0"/>
  </r>
  <r>
    <x v="65"/>
    <x v="4"/>
    <x v="39"/>
    <x v="8"/>
    <x v="26"/>
    <n v="330"/>
    <x v="0"/>
    <x v="4"/>
    <x v="0"/>
  </r>
  <r>
    <x v="65"/>
    <x v="4"/>
    <x v="5"/>
    <x v="1"/>
    <x v="2"/>
    <m/>
    <x v="195"/>
    <x v="4"/>
    <x v="0"/>
  </r>
  <r>
    <x v="65"/>
    <x v="4"/>
    <x v="35"/>
    <x v="10"/>
    <x v="21"/>
    <n v="432"/>
    <x v="0"/>
    <x v="4"/>
    <x v="0"/>
  </r>
  <r>
    <x v="65"/>
    <x v="4"/>
    <x v="39"/>
    <x v="0"/>
    <x v="6"/>
    <n v="1340"/>
    <x v="0"/>
    <x v="4"/>
    <x v="0"/>
  </r>
  <r>
    <x v="65"/>
    <x v="4"/>
    <x v="7"/>
    <x v="0"/>
    <x v="39"/>
    <n v="1400"/>
    <x v="0"/>
    <x v="4"/>
    <x v="0"/>
  </r>
  <r>
    <x v="65"/>
    <x v="43"/>
    <x v="5"/>
    <x v="1"/>
    <x v="2"/>
    <m/>
    <x v="196"/>
    <x v="4"/>
    <x v="0"/>
  </r>
  <r>
    <x v="65"/>
    <x v="43"/>
    <x v="33"/>
    <x v="37"/>
    <x v="21"/>
    <n v="2376"/>
    <x v="0"/>
    <x v="4"/>
    <x v="0"/>
  </r>
  <r>
    <x v="65"/>
    <x v="43"/>
    <x v="32"/>
    <x v="8"/>
    <x v="22"/>
    <n v="250"/>
    <x v="0"/>
    <x v="4"/>
    <x v="0"/>
  </r>
  <r>
    <x v="66"/>
    <x v="5"/>
    <x v="5"/>
    <x v="1"/>
    <x v="2"/>
    <m/>
    <x v="197"/>
    <x v="4"/>
    <x v="0"/>
  </r>
  <r>
    <x v="66"/>
    <x v="5"/>
    <x v="39"/>
    <x v="17"/>
    <x v="26"/>
    <n v="13200"/>
    <x v="0"/>
    <x v="4"/>
    <x v="0"/>
  </r>
  <r>
    <x v="66"/>
    <x v="5"/>
    <x v="7"/>
    <x v="37"/>
    <x v="18"/>
    <n v="3762"/>
    <x v="0"/>
    <x v="4"/>
    <x v="0"/>
  </r>
  <r>
    <x v="66"/>
    <x v="5"/>
    <x v="9"/>
    <x v="33"/>
    <x v="18"/>
    <n v="2394"/>
    <x v="0"/>
    <x v="4"/>
    <x v="0"/>
  </r>
  <r>
    <x v="66"/>
    <x v="5"/>
    <x v="58"/>
    <x v="4"/>
    <x v="51"/>
    <n v="4300"/>
    <x v="0"/>
    <x v="4"/>
    <x v="0"/>
  </r>
  <r>
    <x v="66"/>
    <x v="5"/>
    <x v="58"/>
    <x v="3"/>
    <x v="51"/>
    <n v="2150"/>
    <x v="0"/>
    <x v="4"/>
    <x v="0"/>
  </r>
  <r>
    <x v="66"/>
    <x v="5"/>
    <x v="10"/>
    <x v="0"/>
    <x v="12"/>
    <n v="2160"/>
    <x v="0"/>
    <x v="4"/>
    <x v="0"/>
  </r>
  <r>
    <x v="66"/>
    <x v="5"/>
    <x v="63"/>
    <x v="9"/>
    <x v="113"/>
    <n v="2160"/>
    <x v="0"/>
    <x v="4"/>
    <x v="0"/>
  </r>
  <r>
    <x v="66"/>
    <x v="15"/>
    <x v="5"/>
    <x v="1"/>
    <x v="2"/>
    <m/>
    <x v="20"/>
    <x v="4"/>
    <x v="0"/>
  </r>
  <r>
    <x v="66"/>
    <x v="15"/>
    <x v="64"/>
    <x v="10"/>
    <x v="114"/>
    <n v="1862"/>
    <x v="0"/>
    <x v="4"/>
    <x v="0"/>
  </r>
  <r>
    <x v="66"/>
    <x v="15"/>
    <x v="73"/>
    <x v="11"/>
    <x v="12"/>
    <n v="3240"/>
    <x v="0"/>
    <x v="4"/>
    <x v="0"/>
  </r>
  <r>
    <x v="66"/>
    <x v="15"/>
    <x v="18"/>
    <x v="8"/>
    <x v="115"/>
    <n v="570"/>
    <x v="0"/>
    <x v="4"/>
    <x v="0"/>
  </r>
  <r>
    <x v="66"/>
    <x v="15"/>
    <x v="29"/>
    <x v="8"/>
    <x v="116"/>
    <n v="600"/>
    <x v="0"/>
    <x v="4"/>
    <x v="0"/>
  </r>
  <r>
    <x v="66"/>
    <x v="15"/>
    <x v="87"/>
    <x v="8"/>
    <x v="90"/>
    <n v="200"/>
    <x v="0"/>
    <x v="4"/>
    <x v="0"/>
  </r>
  <r>
    <x v="66"/>
    <x v="8"/>
    <x v="5"/>
    <x v="1"/>
    <x v="2"/>
    <m/>
    <x v="198"/>
    <x v="4"/>
    <x v="0"/>
  </r>
  <r>
    <x v="67"/>
    <x v="0"/>
    <x v="5"/>
    <x v="1"/>
    <x v="2"/>
    <m/>
    <x v="199"/>
    <x v="4"/>
    <x v="0"/>
  </r>
  <r>
    <x v="67"/>
    <x v="0"/>
    <x v="12"/>
    <x v="57"/>
    <x v="2"/>
    <n v="8300"/>
    <x v="0"/>
    <x v="4"/>
    <x v="0"/>
  </r>
  <r>
    <x v="67"/>
    <x v="0"/>
    <x v="39"/>
    <x v="3"/>
    <x v="26"/>
    <n v="3300"/>
    <x v="0"/>
    <x v="4"/>
    <x v="0"/>
  </r>
  <r>
    <x v="67"/>
    <x v="0"/>
    <x v="85"/>
    <x v="3"/>
    <x v="14"/>
    <n v="5000"/>
    <x v="0"/>
    <x v="4"/>
    <x v="0"/>
  </r>
  <r>
    <x v="67"/>
    <x v="1"/>
    <x v="5"/>
    <x v="1"/>
    <x v="2"/>
    <m/>
    <x v="20"/>
    <x v="4"/>
    <x v="0"/>
  </r>
  <r>
    <x v="67"/>
    <x v="1"/>
    <x v="39"/>
    <x v="3"/>
    <x v="26"/>
    <n v="3300"/>
    <x v="0"/>
    <x v="4"/>
    <x v="0"/>
  </r>
  <r>
    <x v="67"/>
    <x v="30"/>
    <x v="5"/>
    <x v="1"/>
    <x v="2"/>
    <m/>
    <x v="200"/>
    <x v="4"/>
    <x v="0"/>
  </r>
  <r>
    <x v="67"/>
    <x v="30"/>
    <x v="4"/>
    <x v="3"/>
    <x v="117"/>
    <n v="1500"/>
    <x v="0"/>
    <x v="4"/>
    <x v="0"/>
  </r>
  <r>
    <x v="68"/>
    <x v="17"/>
    <x v="5"/>
    <x v="1"/>
    <x v="2"/>
    <m/>
    <x v="74"/>
    <x v="4"/>
    <x v="0"/>
  </r>
  <r>
    <x v="68"/>
    <x v="17"/>
    <x v="39"/>
    <x v="12"/>
    <x v="26"/>
    <n v="1650"/>
    <x v="0"/>
    <x v="4"/>
    <x v="0"/>
  </r>
  <r>
    <x v="69"/>
    <x v="1"/>
    <x v="5"/>
    <x v="1"/>
    <x v="2"/>
    <m/>
    <x v="201"/>
    <x v="5"/>
    <x v="0"/>
  </r>
  <r>
    <x v="69"/>
    <x v="1"/>
    <x v="39"/>
    <x v="8"/>
    <x v="26"/>
    <n v="330"/>
    <x v="0"/>
    <x v="5"/>
    <x v="0"/>
  </r>
  <r>
    <x v="70"/>
    <x v="0"/>
    <x v="5"/>
    <x v="1"/>
    <x v="2"/>
    <m/>
    <x v="87"/>
    <x v="5"/>
    <x v="0"/>
  </r>
  <r>
    <x v="70"/>
    <x v="0"/>
    <x v="49"/>
    <x v="38"/>
    <x v="43"/>
    <n v="3800"/>
    <x v="0"/>
    <x v="5"/>
    <x v="0"/>
  </r>
  <r>
    <x v="70"/>
    <x v="5"/>
    <x v="5"/>
    <x v="1"/>
    <x v="2"/>
    <m/>
    <x v="202"/>
    <x v="5"/>
    <x v="0"/>
  </r>
  <r>
    <x v="70"/>
    <x v="5"/>
    <x v="49"/>
    <x v="30"/>
    <x v="43"/>
    <n v="7600"/>
    <x v="0"/>
    <x v="5"/>
    <x v="0"/>
  </r>
  <r>
    <x v="70"/>
    <x v="5"/>
    <x v="43"/>
    <x v="12"/>
    <x v="37"/>
    <n v="1500"/>
    <x v="0"/>
    <x v="5"/>
    <x v="0"/>
  </r>
  <r>
    <x v="70"/>
    <x v="21"/>
    <x v="5"/>
    <x v="1"/>
    <x v="2"/>
    <m/>
    <x v="203"/>
    <x v="5"/>
    <x v="0"/>
  </r>
  <r>
    <x v="70"/>
    <x v="21"/>
    <x v="49"/>
    <x v="43"/>
    <x v="43"/>
    <n v="1900"/>
    <x v="0"/>
    <x v="5"/>
    <x v="0"/>
  </r>
  <r>
    <x v="70"/>
    <x v="0"/>
    <x v="5"/>
    <x v="1"/>
    <x v="2"/>
    <m/>
    <x v="204"/>
    <x v="5"/>
    <x v="0"/>
  </r>
  <r>
    <x v="70"/>
    <x v="0"/>
    <x v="6"/>
    <x v="2"/>
    <x v="118"/>
    <n v="4980"/>
    <x v="0"/>
    <x v="5"/>
    <x v="0"/>
  </r>
  <r>
    <x v="70"/>
    <x v="0"/>
    <x v="53"/>
    <x v="18"/>
    <x v="51"/>
    <n v="5160"/>
    <x v="0"/>
    <x v="5"/>
    <x v="0"/>
  </r>
  <r>
    <x v="70"/>
    <x v="0"/>
    <x v="85"/>
    <x v="3"/>
    <x v="14"/>
    <n v="5000"/>
    <x v="0"/>
    <x v="5"/>
    <x v="0"/>
  </r>
  <r>
    <x v="70"/>
    <x v="15"/>
    <x v="5"/>
    <x v="1"/>
    <x v="2"/>
    <m/>
    <x v="149"/>
    <x v="5"/>
    <x v="0"/>
  </r>
  <r>
    <x v="70"/>
    <x v="15"/>
    <x v="80"/>
    <x v="0"/>
    <x v="39"/>
    <n v="1400"/>
    <x v="0"/>
    <x v="5"/>
    <x v="0"/>
  </r>
  <r>
    <x v="70"/>
    <x v="15"/>
    <x v="81"/>
    <x v="0"/>
    <x v="39"/>
    <n v="1400"/>
    <x v="0"/>
    <x v="5"/>
    <x v="0"/>
  </r>
  <r>
    <x v="71"/>
    <x v="1"/>
    <x v="5"/>
    <x v="1"/>
    <x v="2"/>
    <m/>
    <x v="205"/>
    <x v="5"/>
    <x v="0"/>
  </r>
  <r>
    <x v="71"/>
    <x v="1"/>
    <x v="12"/>
    <x v="58"/>
    <x v="2"/>
    <n v="31575"/>
    <x v="0"/>
    <x v="5"/>
    <x v="0"/>
  </r>
  <r>
    <x v="71"/>
    <x v="1"/>
    <x v="39"/>
    <x v="56"/>
    <x v="26"/>
    <n v="26400"/>
    <x v="0"/>
    <x v="5"/>
    <x v="0"/>
  </r>
  <r>
    <x v="71"/>
    <x v="1"/>
    <x v="7"/>
    <x v="14"/>
    <x v="4"/>
    <n v="5175"/>
    <x v="0"/>
    <x v="5"/>
    <x v="0"/>
  </r>
  <r>
    <x v="71"/>
    <x v="23"/>
    <x v="5"/>
    <x v="1"/>
    <x v="2"/>
    <m/>
    <x v="206"/>
    <x v="5"/>
    <x v="0"/>
  </r>
  <r>
    <x v="71"/>
    <x v="23"/>
    <x v="35"/>
    <x v="59"/>
    <x v="94"/>
    <n v="3040"/>
    <x v="0"/>
    <x v="5"/>
    <x v="0"/>
  </r>
  <r>
    <x v="71"/>
    <x v="23"/>
    <x v="32"/>
    <x v="0"/>
    <x v="119"/>
    <n v="920"/>
    <x v="0"/>
    <x v="5"/>
    <x v="0"/>
  </r>
  <r>
    <x v="71"/>
    <x v="23"/>
    <x v="17"/>
    <x v="10"/>
    <x v="17"/>
    <n v="1260"/>
    <x v="0"/>
    <x v="5"/>
    <x v="0"/>
  </r>
  <r>
    <x v="71"/>
    <x v="23"/>
    <x v="49"/>
    <x v="43"/>
    <x v="44"/>
    <n v="1950"/>
    <x v="0"/>
    <x v="5"/>
    <x v="0"/>
  </r>
  <r>
    <x v="71"/>
    <x v="23"/>
    <x v="19"/>
    <x v="9"/>
    <x v="17"/>
    <n v="1890"/>
    <x v="0"/>
    <x v="5"/>
    <x v="0"/>
  </r>
  <r>
    <x v="71"/>
    <x v="23"/>
    <x v="24"/>
    <x v="10"/>
    <x v="46"/>
    <n v="800"/>
    <x v="0"/>
    <x v="5"/>
    <x v="0"/>
  </r>
  <r>
    <x v="71"/>
    <x v="10"/>
    <x v="5"/>
    <x v="1"/>
    <x v="2"/>
    <m/>
    <x v="207"/>
    <x v="5"/>
    <x v="0"/>
  </r>
  <r>
    <x v="71"/>
    <x v="10"/>
    <x v="35"/>
    <x v="33"/>
    <x v="90"/>
    <n v="1400"/>
    <x v="0"/>
    <x v="5"/>
    <x v="0"/>
  </r>
  <r>
    <x v="71"/>
    <x v="10"/>
    <x v="32"/>
    <x v="9"/>
    <x v="22"/>
    <n v="750"/>
    <x v="0"/>
    <x v="5"/>
    <x v="0"/>
  </r>
  <r>
    <x v="71"/>
    <x v="10"/>
    <x v="74"/>
    <x v="10"/>
    <x v="17"/>
    <n v="1260"/>
    <x v="0"/>
    <x v="5"/>
    <x v="0"/>
  </r>
  <r>
    <x v="71"/>
    <x v="10"/>
    <x v="80"/>
    <x v="0"/>
    <x v="39"/>
    <n v="1400"/>
    <x v="0"/>
    <x v="5"/>
    <x v="0"/>
  </r>
  <r>
    <x v="71"/>
    <x v="10"/>
    <x v="81"/>
    <x v="0"/>
    <x v="39"/>
    <n v="1400"/>
    <x v="0"/>
    <x v="5"/>
    <x v="0"/>
  </r>
  <r>
    <x v="71"/>
    <x v="28"/>
    <x v="5"/>
    <x v="1"/>
    <x v="2"/>
    <m/>
    <x v="208"/>
    <x v="5"/>
    <x v="0"/>
  </r>
  <r>
    <x v="71"/>
    <x v="28"/>
    <x v="49"/>
    <x v="26"/>
    <x v="43"/>
    <n v="5700"/>
    <x v="0"/>
    <x v="5"/>
    <x v="0"/>
  </r>
  <r>
    <x v="71"/>
    <x v="28"/>
    <x v="39"/>
    <x v="4"/>
    <x v="26"/>
    <n v="6600"/>
    <x v="0"/>
    <x v="5"/>
    <x v="0"/>
  </r>
  <r>
    <x v="71"/>
    <x v="21"/>
    <x v="5"/>
    <x v="1"/>
    <x v="2"/>
    <m/>
    <x v="91"/>
    <x v="5"/>
    <x v="0"/>
  </r>
  <r>
    <x v="71"/>
    <x v="21"/>
    <x v="39"/>
    <x v="4"/>
    <x v="26"/>
    <n v="6600"/>
    <x v="0"/>
    <x v="5"/>
    <x v="0"/>
  </r>
  <r>
    <x v="71"/>
    <x v="5"/>
    <x v="5"/>
    <x v="1"/>
    <x v="2"/>
    <m/>
    <x v="209"/>
    <x v="5"/>
    <x v="0"/>
  </r>
  <r>
    <x v="71"/>
    <x v="5"/>
    <x v="49"/>
    <x v="40"/>
    <x v="43"/>
    <n v="9500"/>
    <x v="0"/>
    <x v="5"/>
    <x v="0"/>
  </r>
  <r>
    <x v="71"/>
    <x v="5"/>
    <x v="80"/>
    <x v="45"/>
    <x v="4"/>
    <n v="2760"/>
    <x v="0"/>
    <x v="5"/>
    <x v="0"/>
  </r>
  <r>
    <x v="71"/>
    <x v="5"/>
    <x v="81"/>
    <x v="0"/>
    <x v="4"/>
    <n v="1380"/>
    <x v="0"/>
    <x v="5"/>
    <x v="0"/>
  </r>
  <r>
    <x v="71"/>
    <x v="5"/>
    <x v="58"/>
    <x v="4"/>
    <x v="51"/>
    <n v="4300"/>
    <x v="0"/>
    <x v="5"/>
    <x v="0"/>
  </r>
  <r>
    <x v="71"/>
    <x v="17"/>
    <x v="5"/>
    <x v="1"/>
    <x v="2"/>
    <m/>
    <x v="74"/>
    <x v="5"/>
    <x v="0"/>
  </r>
  <r>
    <x v="71"/>
    <x v="17"/>
    <x v="39"/>
    <x v="12"/>
    <x v="26"/>
    <n v="1650"/>
    <x v="0"/>
    <x v="5"/>
    <x v="0"/>
  </r>
  <r>
    <x v="71"/>
    <x v="32"/>
    <x v="5"/>
    <x v="1"/>
    <x v="2"/>
    <m/>
    <x v="210"/>
    <x v="5"/>
    <x v="0"/>
  </r>
  <r>
    <x v="71"/>
    <x v="32"/>
    <x v="62"/>
    <x v="11"/>
    <x v="59"/>
    <n v="1668"/>
    <x v="0"/>
    <x v="5"/>
    <x v="0"/>
  </r>
  <r>
    <x v="71"/>
    <x v="32"/>
    <x v="78"/>
    <x v="14"/>
    <x v="120"/>
    <n v="1755"/>
    <x v="0"/>
    <x v="5"/>
    <x v="0"/>
  </r>
  <r>
    <x v="71"/>
    <x v="25"/>
    <x v="5"/>
    <x v="1"/>
    <x v="2"/>
    <m/>
    <x v="211"/>
    <x v="5"/>
    <x v="0"/>
  </r>
  <r>
    <x v="71"/>
    <x v="25"/>
    <x v="62"/>
    <x v="3"/>
    <x v="59"/>
    <n v="2780"/>
    <x v="0"/>
    <x v="5"/>
    <x v="0"/>
  </r>
  <r>
    <x v="71"/>
    <x v="25"/>
    <x v="78"/>
    <x v="14"/>
    <x v="121"/>
    <n v="1750"/>
    <x v="0"/>
    <x v="5"/>
    <x v="0"/>
  </r>
  <r>
    <x v="72"/>
    <x v="26"/>
    <x v="5"/>
    <x v="1"/>
    <x v="2"/>
    <m/>
    <x v="212"/>
    <x v="5"/>
    <x v="0"/>
  </r>
  <r>
    <x v="72"/>
    <x v="26"/>
    <x v="39"/>
    <x v="3"/>
    <x v="26"/>
    <n v="3300"/>
    <x v="0"/>
    <x v="5"/>
    <x v="0"/>
  </r>
  <r>
    <x v="72"/>
    <x v="26"/>
    <x v="7"/>
    <x v="0"/>
    <x v="4"/>
    <n v="1380"/>
    <x v="0"/>
    <x v="5"/>
    <x v="0"/>
  </r>
  <r>
    <x v="72"/>
    <x v="26"/>
    <x v="80"/>
    <x v="0"/>
    <x v="4"/>
    <n v="1380"/>
    <x v="0"/>
    <x v="5"/>
    <x v="0"/>
  </r>
  <r>
    <x v="72"/>
    <x v="26"/>
    <x v="81"/>
    <x v="0"/>
    <x v="4"/>
    <n v="1380"/>
    <x v="0"/>
    <x v="5"/>
    <x v="0"/>
  </r>
  <r>
    <x v="72"/>
    <x v="5"/>
    <x v="5"/>
    <x v="1"/>
    <x v="2"/>
    <m/>
    <x v="213"/>
    <x v="5"/>
    <x v="0"/>
  </r>
  <r>
    <x v="72"/>
    <x v="5"/>
    <x v="49"/>
    <x v="38"/>
    <x v="43"/>
    <n v="3800"/>
    <x v="0"/>
    <x v="5"/>
    <x v="0"/>
  </r>
  <r>
    <x v="72"/>
    <x v="5"/>
    <x v="39"/>
    <x v="55"/>
    <x v="26"/>
    <n v="4620"/>
    <x v="0"/>
    <x v="5"/>
    <x v="0"/>
  </r>
  <r>
    <x v="72"/>
    <x v="5"/>
    <x v="9"/>
    <x v="0"/>
    <x v="4"/>
    <n v="1380"/>
    <x v="0"/>
    <x v="5"/>
    <x v="0"/>
  </r>
  <r>
    <x v="72"/>
    <x v="5"/>
    <x v="24"/>
    <x v="10"/>
    <x v="16"/>
    <n v="780"/>
    <x v="0"/>
    <x v="5"/>
    <x v="0"/>
  </r>
  <r>
    <x v="73"/>
    <x v="17"/>
    <x v="5"/>
    <x v="1"/>
    <x v="2"/>
    <m/>
    <x v="20"/>
    <x v="5"/>
    <x v="0"/>
  </r>
  <r>
    <x v="73"/>
    <x v="17"/>
    <x v="39"/>
    <x v="3"/>
    <x v="26"/>
    <n v="3300"/>
    <x v="0"/>
    <x v="5"/>
    <x v="0"/>
  </r>
  <r>
    <x v="74"/>
    <x v="15"/>
    <x v="5"/>
    <x v="1"/>
    <x v="2"/>
    <m/>
    <x v="214"/>
    <x v="5"/>
    <x v="0"/>
  </r>
  <r>
    <x v="74"/>
    <x v="15"/>
    <x v="6"/>
    <x v="12"/>
    <x v="46"/>
    <n v="2000"/>
    <x v="0"/>
    <x v="5"/>
    <x v="0"/>
  </r>
  <r>
    <x v="74"/>
    <x v="11"/>
    <x v="5"/>
    <x v="1"/>
    <x v="2"/>
    <m/>
    <x v="91"/>
    <x v="5"/>
    <x v="0"/>
  </r>
  <r>
    <x v="74"/>
    <x v="11"/>
    <x v="39"/>
    <x v="4"/>
    <x v="26"/>
    <n v="6600"/>
    <x v="0"/>
    <x v="5"/>
    <x v="0"/>
  </r>
  <r>
    <x v="74"/>
    <x v="0"/>
    <x v="5"/>
    <x v="1"/>
    <x v="2"/>
    <m/>
    <x v="215"/>
    <x v="5"/>
    <x v="0"/>
  </r>
  <r>
    <x v="74"/>
    <x v="0"/>
    <x v="39"/>
    <x v="3"/>
    <x v="26"/>
    <n v="3300"/>
    <x v="0"/>
    <x v="5"/>
    <x v="0"/>
  </r>
  <r>
    <x v="74"/>
    <x v="0"/>
    <x v="49"/>
    <x v="43"/>
    <x v="43"/>
    <n v="1900"/>
    <x v="0"/>
    <x v="5"/>
    <x v="0"/>
  </r>
  <r>
    <x v="74"/>
    <x v="0"/>
    <x v="66"/>
    <x v="10"/>
    <x v="122"/>
    <n v="5280"/>
    <x v="0"/>
    <x v="5"/>
    <x v="0"/>
  </r>
  <r>
    <x v="74"/>
    <x v="0"/>
    <x v="62"/>
    <x v="3"/>
    <x v="59"/>
    <n v="2780"/>
    <x v="0"/>
    <x v="5"/>
    <x v="0"/>
  </r>
  <r>
    <x v="74"/>
    <x v="0"/>
    <x v="68"/>
    <x v="3"/>
    <x v="123"/>
    <n v="5460"/>
    <x v="0"/>
    <x v="5"/>
    <x v="0"/>
  </r>
  <r>
    <x v="74"/>
    <x v="33"/>
    <x v="5"/>
    <x v="1"/>
    <x v="2"/>
    <m/>
    <x v="216"/>
    <x v="5"/>
    <x v="0"/>
  </r>
  <r>
    <x v="74"/>
    <x v="33"/>
    <x v="68"/>
    <x v="47"/>
    <x v="124"/>
    <n v="9915"/>
    <x v="0"/>
    <x v="5"/>
    <x v="0"/>
  </r>
  <r>
    <x v="74"/>
    <x v="33"/>
    <x v="62"/>
    <x v="46"/>
    <x v="125"/>
    <n v="10010"/>
    <x v="0"/>
    <x v="5"/>
    <x v="0"/>
  </r>
  <r>
    <x v="74"/>
    <x v="33"/>
    <x v="78"/>
    <x v="51"/>
    <x v="126"/>
    <n v="7120"/>
    <x v="0"/>
    <x v="5"/>
    <x v="0"/>
  </r>
  <r>
    <x v="74"/>
    <x v="44"/>
    <x v="5"/>
    <x v="1"/>
    <x v="2"/>
    <m/>
    <x v="217"/>
    <x v="5"/>
    <x v="0"/>
  </r>
  <r>
    <x v="74"/>
    <x v="44"/>
    <x v="39"/>
    <x v="3"/>
    <x v="26"/>
    <n v="3300"/>
    <x v="0"/>
    <x v="5"/>
    <x v="0"/>
  </r>
  <r>
    <x v="74"/>
    <x v="44"/>
    <x v="7"/>
    <x v="0"/>
    <x v="4"/>
    <n v="1380"/>
    <x v="0"/>
    <x v="5"/>
    <x v="0"/>
  </r>
  <r>
    <x v="74"/>
    <x v="44"/>
    <x v="80"/>
    <x v="0"/>
    <x v="4"/>
    <n v="1380"/>
    <x v="0"/>
    <x v="5"/>
    <x v="0"/>
  </r>
  <r>
    <x v="74"/>
    <x v="44"/>
    <x v="81"/>
    <x v="0"/>
    <x v="4"/>
    <n v="1380"/>
    <x v="0"/>
    <x v="5"/>
    <x v="0"/>
  </r>
  <r>
    <x v="74"/>
    <x v="44"/>
    <x v="23"/>
    <x v="8"/>
    <x v="14"/>
    <n v="400"/>
    <x v="0"/>
    <x v="5"/>
    <x v="0"/>
  </r>
  <r>
    <x v="74"/>
    <x v="25"/>
    <x v="5"/>
    <x v="1"/>
    <x v="2"/>
    <m/>
    <x v="218"/>
    <x v="5"/>
    <x v="0"/>
  </r>
  <r>
    <x v="74"/>
    <x v="25"/>
    <x v="68"/>
    <x v="11"/>
    <x v="65"/>
    <n v="3270"/>
    <x v="0"/>
    <x v="5"/>
    <x v="0"/>
  </r>
  <r>
    <x v="74"/>
    <x v="25"/>
    <x v="85"/>
    <x v="11"/>
    <x v="14"/>
    <n v="3000"/>
    <x v="0"/>
    <x v="5"/>
    <x v="0"/>
  </r>
  <r>
    <x v="74"/>
    <x v="17"/>
    <x v="5"/>
    <x v="1"/>
    <x v="2"/>
    <m/>
    <x v="91"/>
    <x v="5"/>
    <x v="0"/>
  </r>
  <r>
    <x v="74"/>
    <x v="17"/>
    <x v="39"/>
    <x v="4"/>
    <x v="26"/>
    <n v="6600"/>
    <x v="0"/>
    <x v="5"/>
    <x v="0"/>
  </r>
  <r>
    <x v="75"/>
    <x v="45"/>
    <x v="5"/>
    <x v="1"/>
    <x v="2"/>
    <m/>
    <x v="219"/>
    <x v="5"/>
    <x v="0"/>
  </r>
  <r>
    <x v="75"/>
    <x v="45"/>
    <x v="6"/>
    <x v="10"/>
    <x v="3"/>
    <n v="840"/>
    <x v="0"/>
    <x v="5"/>
    <x v="0"/>
  </r>
  <r>
    <x v="75"/>
    <x v="45"/>
    <x v="85"/>
    <x v="8"/>
    <x v="32"/>
    <n v="520"/>
    <x v="0"/>
    <x v="5"/>
    <x v="0"/>
  </r>
  <r>
    <x v="76"/>
    <x v="2"/>
    <x v="5"/>
    <x v="1"/>
    <x v="2"/>
    <m/>
    <x v="220"/>
    <x v="5"/>
    <x v="0"/>
  </r>
  <r>
    <x v="76"/>
    <x v="2"/>
    <x v="8"/>
    <x v="60"/>
    <x v="127"/>
    <n v="151960"/>
    <x v="0"/>
    <x v="5"/>
    <x v="0"/>
  </r>
  <r>
    <x v="76"/>
    <x v="2"/>
    <x v="10"/>
    <x v="4"/>
    <x v="32"/>
    <n v="10400"/>
    <x v="0"/>
    <x v="5"/>
    <x v="0"/>
  </r>
  <r>
    <x v="76"/>
    <x v="2"/>
    <x v="30"/>
    <x v="12"/>
    <x v="32"/>
    <n v="2600"/>
    <x v="0"/>
    <x v="5"/>
    <x v="0"/>
  </r>
  <r>
    <x v="76"/>
    <x v="2"/>
    <x v="73"/>
    <x v="4"/>
    <x v="32"/>
    <n v="10400"/>
    <x v="0"/>
    <x v="5"/>
    <x v="0"/>
  </r>
  <r>
    <x v="76"/>
    <x v="2"/>
    <x v="37"/>
    <x v="12"/>
    <x v="32"/>
    <n v="2600"/>
    <x v="0"/>
    <x v="5"/>
    <x v="0"/>
  </r>
  <r>
    <x v="76"/>
    <x v="2"/>
    <x v="4"/>
    <x v="61"/>
    <x v="117"/>
    <m/>
    <x v="0"/>
    <x v="5"/>
    <x v="0"/>
  </r>
  <r>
    <x v="76"/>
    <x v="8"/>
    <x v="5"/>
    <x v="1"/>
    <x v="2"/>
    <m/>
    <x v="221"/>
    <x v="5"/>
    <x v="0"/>
  </r>
  <r>
    <x v="76"/>
    <x v="21"/>
    <x v="5"/>
    <x v="1"/>
    <x v="2"/>
    <m/>
    <x v="222"/>
    <x v="5"/>
    <x v="0"/>
  </r>
  <r>
    <x v="76"/>
    <x v="21"/>
    <x v="8"/>
    <x v="3"/>
    <x v="12"/>
    <n v="5400"/>
    <x v="0"/>
    <x v="5"/>
    <x v="0"/>
  </r>
  <r>
    <x v="77"/>
    <x v="10"/>
    <x v="5"/>
    <x v="1"/>
    <x v="2"/>
    <m/>
    <x v="150"/>
    <x v="5"/>
    <x v="0"/>
  </r>
  <r>
    <x v="77"/>
    <x v="10"/>
    <x v="8"/>
    <x v="12"/>
    <x v="12"/>
    <n v="2700"/>
    <x v="0"/>
    <x v="5"/>
    <x v="0"/>
  </r>
  <r>
    <x v="77"/>
    <x v="23"/>
    <x v="5"/>
    <x v="1"/>
    <x v="2"/>
    <m/>
    <x v="119"/>
    <x v="5"/>
    <x v="0"/>
  </r>
  <r>
    <x v="77"/>
    <x v="23"/>
    <x v="8"/>
    <x v="12"/>
    <x v="11"/>
    <n v="2750"/>
    <x v="0"/>
    <x v="5"/>
    <x v="0"/>
  </r>
  <r>
    <x v="77"/>
    <x v="5"/>
    <x v="5"/>
    <x v="1"/>
    <x v="2"/>
    <m/>
    <x v="223"/>
    <x v="5"/>
    <x v="0"/>
  </r>
  <r>
    <x v="77"/>
    <x v="5"/>
    <x v="39"/>
    <x v="3"/>
    <x v="26"/>
    <n v="3300"/>
    <x v="0"/>
    <x v="5"/>
    <x v="0"/>
  </r>
  <r>
    <x v="77"/>
    <x v="5"/>
    <x v="49"/>
    <x v="38"/>
    <x v="43"/>
    <n v="3800"/>
    <x v="0"/>
    <x v="5"/>
    <x v="0"/>
  </r>
  <r>
    <x v="77"/>
    <x v="5"/>
    <x v="8"/>
    <x v="14"/>
    <x v="5"/>
    <n v="7875"/>
    <x v="0"/>
    <x v="5"/>
    <x v="0"/>
  </r>
  <r>
    <x v="77"/>
    <x v="5"/>
    <x v="7"/>
    <x v="9"/>
    <x v="4"/>
    <n v="1035"/>
    <x v="0"/>
    <x v="5"/>
    <x v="0"/>
  </r>
  <r>
    <x v="77"/>
    <x v="5"/>
    <x v="58"/>
    <x v="14"/>
    <x v="51"/>
    <n v="3225"/>
    <x v="0"/>
    <x v="5"/>
    <x v="0"/>
  </r>
  <r>
    <x v="77"/>
    <x v="15"/>
    <x v="5"/>
    <x v="1"/>
    <x v="2"/>
    <m/>
    <x v="224"/>
    <x v="5"/>
    <x v="0"/>
  </r>
  <r>
    <x v="77"/>
    <x v="15"/>
    <x v="8"/>
    <x v="3"/>
    <x v="32"/>
    <n v="5200"/>
    <x v="0"/>
    <x v="5"/>
    <x v="0"/>
  </r>
  <r>
    <x v="77"/>
    <x v="15"/>
    <x v="73"/>
    <x v="8"/>
    <x v="12"/>
    <n v="540"/>
    <x v="0"/>
    <x v="5"/>
    <x v="0"/>
  </r>
  <r>
    <x v="77"/>
    <x v="15"/>
    <x v="39"/>
    <x v="12"/>
    <x v="26"/>
    <n v="1650"/>
    <x v="0"/>
    <x v="5"/>
    <x v="0"/>
  </r>
  <r>
    <x v="77"/>
    <x v="15"/>
    <x v="49"/>
    <x v="35"/>
    <x v="38"/>
    <n v="400"/>
    <x v="0"/>
    <x v="5"/>
    <x v="0"/>
  </r>
  <r>
    <x v="77"/>
    <x v="15"/>
    <x v="39"/>
    <x v="8"/>
    <x v="26"/>
    <n v="330"/>
    <x v="0"/>
    <x v="5"/>
    <x v="0"/>
  </r>
  <r>
    <x v="77"/>
    <x v="15"/>
    <x v="39"/>
    <x v="8"/>
    <x v="34"/>
    <n v="340"/>
    <x v="0"/>
    <x v="5"/>
    <x v="0"/>
  </r>
  <r>
    <x v="77"/>
    <x v="15"/>
    <x v="29"/>
    <x v="8"/>
    <x v="128"/>
    <n v="700"/>
    <x v="0"/>
    <x v="5"/>
    <x v="0"/>
  </r>
  <r>
    <x v="77"/>
    <x v="15"/>
    <x v="8"/>
    <x v="8"/>
    <x v="80"/>
    <n v="530"/>
    <x v="0"/>
    <x v="5"/>
    <x v="0"/>
  </r>
  <r>
    <x v="77"/>
    <x v="46"/>
    <x v="5"/>
    <x v="1"/>
    <x v="2"/>
    <m/>
    <x v="225"/>
    <x v="5"/>
    <x v="0"/>
  </r>
  <r>
    <x v="77"/>
    <x v="46"/>
    <x v="68"/>
    <x v="10"/>
    <x v="12"/>
    <n v="1080"/>
    <x v="0"/>
    <x v="5"/>
    <x v="0"/>
  </r>
  <r>
    <x v="77"/>
    <x v="46"/>
    <x v="62"/>
    <x v="0"/>
    <x v="74"/>
    <n v="1098"/>
    <x v="0"/>
    <x v="5"/>
    <x v="0"/>
  </r>
  <r>
    <x v="77"/>
    <x v="29"/>
    <x v="5"/>
    <x v="1"/>
    <x v="2"/>
    <m/>
    <x v="167"/>
    <x v="5"/>
    <x v="0"/>
  </r>
  <r>
    <x v="77"/>
    <x v="29"/>
    <x v="85"/>
    <x v="2"/>
    <x v="129"/>
    <n v="6180"/>
    <x v="0"/>
    <x v="5"/>
    <x v="0"/>
  </r>
  <r>
    <x v="77"/>
    <x v="12"/>
    <x v="5"/>
    <x v="1"/>
    <x v="2"/>
    <m/>
    <x v="74"/>
    <x v="5"/>
    <x v="0"/>
  </r>
  <r>
    <x v="77"/>
    <x v="12"/>
    <x v="39"/>
    <x v="12"/>
    <x v="26"/>
    <n v="1650"/>
    <x v="0"/>
    <x v="5"/>
    <x v="0"/>
  </r>
  <r>
    <x v="77"/>
    <x v="5"/>
    <x v="5"/>
    <x v="1"/>
    <x v="2"/>
    <m/>
    <x v="226"/>
    <x v="5"/>
    <x v="0"/>
  </r>
  <r>
    <x v="77"/>
    <x v="5"/>
    <x v="8"/>
    <x v="3"/>
    <x v="5"/>
    <n v="5250"/>
    <x v="0"/>
    <x v="5"/>
    <x v="0"/>
  </r>
  <r>
    <x v="78"/>
    <x v="26"/>
    <x v="5"/>
    <x v="1"/>
    <x v="2"/>
    <m/>
    <x v="227"/>
    <x v="5"/>
    <x v="0"/>
  </r>
  <r>
    <x v="78"/>
    <x v="26"/>
    <x v="39"/>
    <x v="4"/>
    <x v="26"/>
    <n v="6600"/>
    <x v="0"/>
    <x v="5"/>
    <x v="0"/>
  </r>
  <r>
    <x v="78"/>
    <x v="26"/>
    <x v="8"/>
    <x v="3"/>
    <x v="5"/>
    <n v="5250"/>
    <x v="0"/>
    <x v="5"/>
    <x v="0"/>
  </r>
  <r>
    <x v="78"/>
    <x v="26"/>
    <x v="81"/>
    <x v="45"/>
    <x v="4"/>
    <n v="2760"/>
    <x v="0"/>
    <x v="5"/>
    <x v="0"/>
  </r>
  <r>
    <x v="78"/>
    <x v="26"/>
    <x v="80"/>
    <x v="0"/>
    <x v="4"/>
    <n v="1380"/>
    <x v="0"/>
    <x v="5"/>
    <x v="0"/>
  </r>
  <r>
    <x v="78"/>
    <x v="26"/>
    <x v="9"/>
    <x v="12"/>
    <x v="4"/>
    <n v="1725"/>
    <x v="0"/>
    <x v="5"/>
    <x v="0"/>
  </r>
  <r>
    <x v="78"/>
    <x v="26"/>
    <x v="43"/>
    <x v="10"/>
    <x v="37"/>
    <n v="600"/>
    <x v="0"/>
    <x v="5"/>
    <x v="0"/>
  </r>
  <r>
    <x v="79"/>
    <x v="15"/>
    <x v="5"/>
    <x v="1"/>
    <x v="2"/>
    <m/>
    <x v="228"/>
    <x v="5"/>
    <x v="0"/>
  </r>
  <r>
    <x v="79"/>
    <x v="15"/>
    <x v="8"/>
    <x v="12"/>
    <x v="32"/>
    <n v="2600"/>
    <x v="0"/>
    <x v="5"/>
    <x v="0"/>
  </r>
  <r>
    <x v="79"/>
    <x v="15"/>
    <x v="81"/>
    <x v="0"/>
    <x v="4"/>
    <n v="1380"/>
    <x v="0"/>
    <x v="5"/>
    <x v="0"/>
  </r>
  <r>
    <x v="79"/>
    <x v="15"/>
    <x v="5"/>
    <x v="1"/>
    <x v="2"/>
    <m/>
    <x v="127"/>
    <x v="5"/>
    <x v="0"/>
  </r>
  <r>
    <x v="79"/>
    <x v="15"/>
    <x v="8"/>
    <x v="12"/>
    <x v="32"/>
    <n v="2600"/>
    <x v="0"/>
    <x v="5"/>
    <x v="0"/>
  </r>
  <r>
    <x v="79"/>
    <x v="5"/>
    <x v="5"/>
    <x v="1"/>
    <x v="2"/>
    <m/>
    <x v="229"/>
    <x v="5"/>
    <x v="0"/>
  </r>
  <r>
    <x v="79"/>
    <x v="5"/>
    <x v="49"/>
    <x v="26"/>
    <x v="43"/>
    <n v="5700"/>
    <x v="0"/>
    <x v="5"/>
    <x v="0"/>
  </r>
  <r>
    <x v="79"/>
    <x v="5"/>
    <x v="39"/>
    <x v="39"/>
    <x v="26"/>
    <n v="8250"/>
    <x v="0"/>
    <x v="5"/>
    <x v="0"/>
  </r>
  <r>
    <x v="79"/>
    <x v="5"/>
    <x v="35"/>
    <x v="45"/>
    <x v="1"/>
    <n v="1440"/>
    <x v="0"/>
    <x v="5"/>
    <x v="0"/>
  </r>
  <r>
    <x v="80"/>
    <x v="15"/>
    <x v="5"/>
    <x v="1"/>
    <x v="2"/>
    <m/>
    <x v="230"/>
    <x v="5"/>
    <x v="0"/>
  </r>
  <r>
    <x v="80"/>
    <x v="15"/>
    <x v="68"/>
    <x v="11"/>
    <x v="65"/>
    <n v="3270"/>
    <x v="0"/>
    <x v="5"/>
    <x v="0"/>
  </r>
  <r>
    <x v="80"/>
    <x v="28"/>
    <x v="5"/>
    <x v="1"/>
    <x v="2"/>
    <m/>
    <x v="109"/>
    <x v="5"/>
    <x v="0"/>
  </r>
  <r>
    <x v="80"/>
    <x v="28"/>
    <x v="49"/>
    <x v="40"/>
    <x v="43"/>
    <n v="9500"/>
    <x v="0"/>
    <x v="5"/>
    <x v="0"/>
  </r>
  <r>
    <x v="80"/>
    <x v="15"/>
    <x v="5"/>
    <x v="1"/>
    <x v="2"/>
    <m/>
    <x v="231"/>
    <x v="5"/>
    <x v="0"/>
  </r>
  <r>
    <x v="80"/>
    <x v="15"/>
    <x v="39"/>
    <x v="8"/>
    <x v="26"/>
    <n v="330"/>
    <x v="0"/>
    <x v="5"/>
    <x v="0"/>
  </r>
  <r>
    <x v="80"/>
    <x v="15"/>
    <x v="9"/>
    <x v="8"/>
    <x v="39"/>
    <n v="350"/>
    <x v="0"/>
    <x v="5"/>
    <x v="0"/>
  </r>
  <r>
    <x v="80"/>
    <x v="15"/>
    <x v="80"/>
    <x v="8"/>
    <x v="39"/>
    <n v="350"/>
    <x v="0"/>
    <x v="5"/>
    <x v="0"/>
  </r>
  <r>
    <x v="80"/>
    <x v="15"/>
    <x v="81"/>
    <x v="8"/>
    <x v="39"/>
    <n v="350"/>
    <x v="0"/>
    <x v="5"/>
    <x v="0"/>
  </r>
  <r>
    <x v="80"/>
    <x v="31"/>
    <x v="5"/>
    <x v="1"/>
    <x v="2"/>
    <m/>
    <x v="232"/>
    <x v="5"/>
    <x v="0"/>
  </r>
  <r>
    <x v="80"/>
    <x v="31"/>
    <x v="6"/>
    <x v="2"/>
    <x v="118"/>
    <n v="4980"/>
    <x v="0"/>
    <x v="5"/>
    <x v="0"/>
  </r>
  <r>
    <x v="80"/>
    <x v="31"/>
    <x v="53"/>
    <x v="18"/>
    <x v="51"/>
    <n v="5160"/>
    <x v="0"/>
    <x v="5"/>
    <x v="0"/>
  </r>
  <r>
    <x v="80"/>
    <x v="32"/>
    <x v="5"/>
    <x v="1"/>
    <x v="2"/>
    <m/>
    <x v="233"/>
    <x v="5"/>
    <x v="0"/>
  </r>
  <r>
    <x v="80"/>
    <x v="32"/>
    <x v="68"/>
    <x v="11"/>
    <x v="65"/>
    <n v="3270"/>
    <x v="0"/>
    <x v="5"/>
    <x v="0"/>
  </r>
  <r>
    <x v="80"/>
    <x v="32"/>
    <x v="78"/>
    <x v="2"/>
    <x v="130"/>
    <n v="1416"/>
    <x v="0"/>
    <x v="5"/>
    <x v="0"/>
  </r>
  <r>
    <x v="80"/>
    <x v="41"/>
    <x v="5"/>
    <x v="1"/>
    <x v="2"/>
    <m/>
    <x v="234"/>
    <x v="5"/>
    <x v="0"/>
  </r>
  <r>
    <x v="80"/>
    <x v="41"/>
    <x v="68"/>
    <x v="9"/>
    <x v="65"/>
    <n v="1635"/>
    <x v="0"/>
    <x v="5"/>
    <x v="0"/>
  </r>
  <r>
    <x v="80"/>
    <x v="29"/>
    <x v="5"/>
    <x v="1"/>
    <x v="2"/>
    <m/>
    <x v="235"/>
    <x v="5"/>
    <x v="0"/>
  </r>
  <r>
    <x v="80"/>
    <x v="29"/>
    <x v="66"/>
    <x v="10"/>
    <x v="105"/>
    <n v="5220"/>
    <x v="0"/>
    <x v="5"/>
    <x v="0"/>
  </r>
  <r>
    <x v="81"/>
    <x v="15"/>
    <x v="5"/>
    <x v="1"/>
    <x v="2"/>
    <m/>
    <x v="150"/>
    <x v="5"/>
    <x v="0"/>
  </r>
  <r>
    <x v="81"/>
    <x v="15"/>
    <x v="8"/>
    <x v="12"/>
    <x v="12"/>
    <n v="2700"/>
    <x v="0"/>
    <x v="5"/>
    <x v="0"/>
  </r>
  <r>
    <x v="81"/>
    <x v="15"/>
    <x v="5"/>
    <x v="1"/>
    <x v="2"/>
    <m/>
    <x v="236"/>
    <x v="5"/>
    <x v="0"/>
  </r>
  <r>
    <x v="81"/>
    <x v="15"/>
    <x v="35"/>
    <x v="3"/>
    <x v="1"/>
    <n v="1800"/>
    <x v="0"/>
    <x v="5"/>
    <x v="0"/>
  </r>
  <r>
    <x v="81"/>
    <x v="15"/>
    <x v="32"/>
    <x v="10"/>
    <x v="119"/>
    <n v="460"/>
    <x v="0"/>
    <x v="5"/>
    <x v="0"/>
  </r>
  <r>
    <x v="81"/>
    <x v="15"/>
    <x v="88"/>
    <x v="1"/>
    <x v="2"/>
    <m/>
    <x v="0"/>
    <x v="5"/>
    <x v="0"/>
  </r>
  <r>
    <x v="82"/>
    <x v="47"/>
    <x v="5"/>
    <x v="1"/>
    <x v="2"/>
    <m/>
    <x v="237"/>
    <x v="6"/>
    <x v="0"/>
  </r>
  <r>
    <x v="82"/>
    <x v="47"/>
    <x v="89"/>
    <x v="10"/>
    <x v="68"/>
    <n v="640"/>
    <x v="0"/>
    <x v="6"/>
    <x v="0"/>
  </r>
  <r>
    <x v="82"/>
    <x v="15"/>
    <x v="5"/>
    <x v="1"/>
    <x v="2"/>
    <m/>
    <x v="238"/>
    <x v="6"/>
    <x v="0"/>
  </r>
  <r>
    <x v="82"/>
    <x v="15"/>
    <x v="39"/>
    <x v="11"/>
    <x v="26"/>
    <n v="1980"/>
    <x v="0"/>
    <x v="6"/>
    <x v="0"/>
  </r>
  <r>
    <x v="82"/>
    <x v="15"/>
    <x v="39"/>
    <x v="10"/>
    <x v="26"/>
    <n v="660"/>
    <x v="0"/>
    <x v="6"/>
    <x v="0"/>
  </r>
  <r>
    <x v="82"/>
    <x v="15"/>
    <x v="81"/>
    <x v="8"/>
    <x v="34"/>
    <n v="340"/>
    <x v="0"/>
    <x v="6"/>
    <x v="0"/>
  </r>
  <r>
    <x v="82"/>
    <x v="15"/>
    <x v="49"/>
    <x v="62"/>
    <x v="43"/>
    <n v="760"/>
    <x v="0"/>
    <x v="6"/>
    <x v="0"/>
  </r>
  <r>
    <x v="82"/>
    <x v="15"/>
    <x v="35"/>
    <x v="8"/>
    <x v="1"/>
    <n v="180"/>
    <x v="0"/>
    <x v="6"/>
    <x v="0"/>
  </r>
  <r>
    <x v="83"/>
    <x v="1"/>
    <x v="5"/>
    <x v="1"/>
    <x v="2"/>
    <m/>
    <x v="239"/>
    <x v="6"/>
    <x v="0"/>
  </r>
  <r>
    <x v="83"/>
    <x v="1"/>
    <x v="39"/>
    <x v="20"/>
    <x v="26"/>
    <n v="16500"/>
    <x v="0"/>
    <x v="6"/>
    <x v="0"/>
  </r>
  <r>
    <x v="83"/>
    <x v="1"/>
    <x v="7"/>
    <x v="4"/>
    <x v="4"/>
    <n v="6900"/>
    <x v="0"/>
    <x v="6"/>
    <x v="0"/>
  </r>
  <r>
    <x v="83"/>
    <x v="1"/>
    <x v="9"/>
    <x v="3"/>
    <x v="4"/>
    <n v="3450"/>
    <x v="0"/>
    <x v="6"/>
    <x v="0"/>
  </r>
  <r>
    <x v="83"/>
    <x v="5"/>
    <x v="5"/>
    <x v="1"/>
    <x v="2"/>
    <m/>
    <x v="240"/>
    <x v="6"/>
    <x v="0"/>
  </r>
  <r>
    <x v="83"/>
    <x v="5"/>
    <x v="58"/>
    <x v="33"/>
    <x v="51"/>
    <n v="1505"/>
    <x v="0"/>
    <x v="6"/>
    <x v="0"/>
  </r>
  <r>
    <x v="83"/>
    <x v="5"/>
    <x v="39"/>
    <x v="14"/>
    <x v="26"/>
    <n v="4950"/>
    <x v="0"/>
    <x v="6"/>
    <x v="0"/>
  </r>
  <r>
    <x v="83"/>
    <x v="5"/>
    <x v="7"/>
    <x v="3"/>
    <x v="4"/>
    <n v="3450"/>
    <x v="0"/>
    <x v="6"/>
    <x v="0"/>
  </r>
  <r>
    <x v="83"/>
    <x v="5"/>
    <x v="80"/>
    <x v="0"/>
    <x v="4"/>
    <n v="1380"/>
    <x v="0"/>
    <x v="6"/>
    <x v="0"/>
  </r>
  <r>
    <x v="83"/>
    <x v="5"/>
    <x v="8"/>
    <x v="12"/>
    <x v="80"/>
    <n v="2650"/>
    <x v="0"/>
    <x v="6"/>
    <x v="0"/>
  </r>
  <r>
    <x v="83"/>
    <x v="5"/>
    <x v="49"/>
    <x v="38"/>
    <x v="43"/>
    <n v="3800"/>
    <x v="0"/>
    <x v="6"/>
    <x v="0"/>
  </r>
  <r>
    <x v="83"/>
    <x v="15"/>
    <x v="5"/>
    <x v="1"/>
    <x v="2"/>
    <m/>
    <x v="241"/>
    <x v="6"/>
    <x v="0"/>
  </r>
  <r>
    <x v="83"/>
    <x v="15"/>
    <x v="81"/>
    <x v="45"/>
    <x v="4"/>
    <n v="2760"/>
    <x v="0"/>
    <x v="6"/>
    <x v="0"/>
  </r>
  <r>
    <x v="83"/>
    <x v="15"/>
    <x v="8"/>
    <x v="12"/>
    <x v="32"/>
    <n v="2600"/>
    <x v="0"/>
    <x v="6"/>
    <x v="0"/>
  </r>
  <r>
    <x v="83"/>
    <x v="15"/>
    <x v="5"/>
    <x v="1"/>
    <x v="2"/>
    <m/>
    <x v="91"/>
    <x v="6"/>
    <x v="0"/>
  </r>
  <r>
    <x v="83"/>
    <x v="15"/>
    <x v="39"/>
    <x v="4"/>
    <x v="26"/>
    <n v="6600"/>
    <x v="0"/>
    <x v="6"/>
    <x v="0"/>
  </r>
  <r>
    <x v="83"/>
    <x v="15"/>
    <x v="5"/>
    <x v="1"/>
    <x v="2"/>
    <m/>
    <x v="242"/>
    <x v="6"/>
    <x v="0"/>
  </r>
  <r>
    <x v="83"/>
    <x v="15"/>
    <x v="8"/>
    <x v="12"/>
    <x v="32"/>
    <n v="2600"/>
    <x v="0"/>
    <x v="6"/>
    <x v="0"/>
  </r>
  <r>
    <x v="83"/>
    <x v="15"/>
    <x v="80"/>
    <x v="0"/>
    <x v="4"/>
    <n v="1380"/>
    <x v="0"/>
    <x v="6"/>
    <x v="0"/>
  </r>
  <r>
    <x v="83"/>
    <x v="15"/>
    <x v="8"/>
    <x v="3"/>
    <x v="32"/>
    <n v="5200"/>
    <x v="0"/>
    <x v="6"/>
    <x v="0"/>
  </r>
  <r>
    <x v="83"/>
    <x v="45"/>
    <x v="5"/>
    <x v="1"/>
    <x v="2"/>
    <m/>
    <x v="243"/>
    <x v="6"/>
    <x v="0"/>
  </r>
  <r>
    <x v="83"/>
    <x v="45"/>
    <x v="6"/>
    <x v="0"/>
    <x v="3"/>
    <n v="1680"/>
    <x v="0"/>
    <x v="6"/>
    <x v="0"/>
  </r>
  <r>
    <x v="84"/>
    <x v="28"/>
    <x v="5"/>
    <x v="1"/>
    <x v="2"/>
    <m/>
    <x v="244"/>
    <x v="6"/>
    <x v="0"/>
  </r>
  <r>
    <x v="84"/>
    <x v="28"/>
    <x v="39"/>
    <x v="14"/>
    <x v="26"/>
    <n v="4950"/>
    <x v="0"/>
    <x v="6"/>
    <x v="0"/>
  </r>
  <r>
    <x v="84"/>
    <x v="28"/>
    <x v="7"/>
    <x v="12"/>
    <x v="39"/>
    <n v="1750"/>
    <x v="0"/>
    <x v="6"/>
    <x v="0"/>
  </r>
  <r>
    <x v="84"/>
    <x v="21"/>
    <x v="5"/>
    <x v="1"/>
    <x v="2"/>
    <m/>
    <x v="245"/>
    <x v="6"/>
    <x v="0"/>
  </r>
  <r>
    <x v="84"/>
    <x v="21"/>
    <x v="4"/>
    <x v="3"/>
    <x v="24"/>
    <n v="1850"/>
    <x v="0"/>
    <x v="6"/>
    <x v="0"/>
  </r>
  <r>
    <x v="84"/>
    <x v="21"/>
    <x v="39"/>
    <x v="3"/>
    <x v="26"/>
    <n v="3300"/>
    <x v="0"/>
    <x v="6"/>
    <x v="0"/>
  </r>
  <r>
    <x v="84"/>
    <x v="21"/>
    <x v="49"/>
    <x v="43"/>
    <x v="43"/>
    <n v="1900"/>
    <x v="0"/>
    <x v="6"/>
    <x v="0"/>
  </r>
  <r>
    <x v="84"/>
    <x v="0"/>
    <x v="5"/>
    <x v="1"/>
    <x v="2"/>
    <m/>
    <x v="246"/>
    <x v="6"/>
    <x v="0"/>
  </r>
  <r>
    <x v="84"/>
    <x v="0"/>
    <x v="39"/>
    <x v="3"/>
    <x v="26"/>
    <n v="3300"/>
    <x v="0"/>
    <x v="6"/>
    <x v="0"/>
  </r>
  <r>
    <x v="84"/>
    <x v="0"/>
    <x v="49"/>
    <x v="38"/>
    <x v="43"/>
    <n v="3800"/>
    <x v="0"/>
    <x v="6"/>
    <x v="0"/>
  </r>
  <r>
    <x v="84"/>
    <x v="25"/>
    <x v="5"/>
    <x v="1"/>
    <x v="2"/>
    <m/>
    <x v="112"/>
    <x v="6"/>
    <x v="0"/>
  </r>
  <r>
    <x v="84"/>
    <x v="25"/>
    <x v="68"/>
    <x v="45"/>
    <x v="65"/>
    <n v="4360"/>
    <x v="0"/>
    <x v="6"/>
    <x v="0"/>
  </r>
  <r>
    <x v="84"/>
    <x v="32"/>
    <x v="5"/>
    <x v="1"/>
    <x v="2"/>
    <m/>
    <x v="247"/>
    <x v="6"/>
    <x v="0"/>
  </r>
  <r>
    <x v="84"/>
    <x v="32"/>
    <x v="85"/>
    <x v="11"/>
    <x v="129"/>
    <n v="3090"/>
    <x v="0"/>
    <x v="6"/>
    <x v="0"/>
  </r>
  <r>
    <x v="84"/>
    <x v="18"/>
    <x v="5"/>
    <x v="1"/>
    <x v="2"/>
    <m/>
    <x v="248"/>
    <x v="6"/>
    <x v="0"/>
  </r>
  <r>
    <x v="84"/>
    <x v="18"/>
    <x v="39"/>
    <x v="27"/>
    <x v="26"/>
    <n v="11550"/>
    <x v="0"/>
    <x v="6"/>
    <x v="0"/>
  </r>
  <r>
    <x v="84"/>
    <x v="18"/>
    <x v="5"/>
    <x v="1"/>
    <x v="2"/>
    <m/>
    <x v="249"/>
    <x v="6"/>
    <x v="0"/>
  </r>
  <r>
    <x v="84"/>
    <x v="18"/>
    <x v="8"/>
    <x v="3"/>
    <x v="32"/>
    <n v="5200"/>
    <x v="0"/>
    <x v="6"/>
    <x v="0"/>
  </r>
  <r>
    <x v="84"/>
    <x v="18"/>
    <x v="7"/>
    <x v="12"/>
    <x v="4"/>
    <n v="1725"/>
    <x v="0"/>
    <x v="6"/>
    <x v="0"/>
  </r>
  <r>
    <x v="84"/>
    <x v="18"/>
    <x v="9"/>
    <x v="12"/>
    <x v="4"/>
    <n v="1725"/>
    <x v="0"/>
    <x v="6"/>
    <x v="0"/>
  </r>
  <r>
    <x v="84"/>
    <x v="1"/>
    <x v="5"/>
    <x v="1"/>
    <x v="2"/>
    <m/>
    <x v="82"/>
    <x v="6"/>
    <x v="0"/>
  </r>
  <r>
    <x v="84"/>
    <x v="1"/>
    <x v="12"/>
    <x v="63"/>
    <x v="2"/>
    <n v="1000"/>
    <x v="0"/>
    <x v="6"/>
    <x v="0"/>
  </r>
  <r>
    <x v="84"/>
    <x v="1"/>
    <x v="85"/>
    <x v="10"/>
    <x v="14"/>
    <n v="1000"/>
    <x v="0"/>
    <x v="6"/>
    <x v="0"/>
  </r>
  <r>
    <x v="85"/>
    <x v="36"/>
    <x v="5"/>
    <x v="1"/>
    <x v="2"/>
    <m/>
    <x v="250"/>
    <x v="6"/>
    <x v="0"/>
  </r>
  <r>
    <x v="85"/>
    <x v="36"/>
    <x v="4"/>
    <x v="3"/>
    <x v="24"/>
    <n v="1850"/>
    <x v="0"/>
    <x v="6"/>
    <x v="0"/>
  </r>
  <r>
    <x v="85"/>
    <x v="36"/>
    <x v="8"/>
    <x v="12"/>
    <x v="12"/>
    <n v="2700"/>
    <x v="0"/>
    <x v="6"/>
    <x v="0"/>
  </r>
  <r>
    <x v="85"/>
    <x v="9"/>
    <x v="5"/>
    <x v="1"/>
    <x v="2"/>
    <m/>
    <x v="251"/>
    <x v="6"/>
    <x v="0"/>
  </r>
  <r>
    <x v="85"/>
    <x v="9"/>
    <x v="30"/>
    <x v="10"/>
    <x v="65"/>
    <n v="1090"/>
    <x v="0"/>
    <x v="6"/>
    <x v="0"/>
  </r>
  <r>
    <x v="85"/>
    <x v="9"/>
    <x v="10"/>
    <x v="0"/>
    <x v="65"/>
    <n v="2180"/>
    <x v="0"/>
    <x v="6"/>
    <x v="0"/>
  </r>
  <r>
    <x v="85"/>
    <x v="9"/>
    <x v="90"/>
    <x v="0"/>
    <x v="131"/>
    <n v="2592"/>
    <x v="0"/>
    <x v="6"/>
    <x v="0"/>
  </r>
  <r>
    <x v="85"/>
    <x v="31"/>
    <x v="5"/>
    <x v="1"/>
    <x v="2"/>
    <m/>
    <x v="252"/>
    <x v="6"/>
    <x v="0"/>
  </r>
  <r>
    <x v="85"/>
    <x v="31"/>
    <x v="6"/>
    <x v="2"/>
    <x v="118"/>
    <n v="4980"/>
    <x v="0"/>
    <x v="6"/>
    <x v="0"/>
  </r>
  <r>
    <x v="85"/>
    <x v="45"/>
    <x v="5"/>
    <x v="1"/>
    <x v="2"/>
    <m/>
    <x v="253"/>
    <x v="6"/>
    <x v="0"/>
  </r>
  <r>
    <x v="85"/>
    <x v="45"/>
    <x v="6"/>
    <x v="10"/>
    <x v="3"/>
    <n v="840"/>
    <x v="0"/>
    <x v="6"/>
    <x v="0"/>
  </r>
  <r>
    <x v="86"/>
    <x v="18"/>
    <x v="5"/>
    <x v="1"/>
    <x v="2"/>
    <m/>
    <x v="254"/>
    <x v="6"/>
    <x v="0"/>
  </r>
  <r>
    <x v="86"/>
    <x v="18"/>
    <x v="39"/>
    <x v="20"/>
    <x v="26"/>
    <n v="16500"/>
    <x v="0"/>
    <x v="6"/>
    <x v="0"/>
  </r>
  <r>
    <x v="86"/>
    <x v="18"/>
    <x v="9"/>
    <x v="3"/>
    <x v="4"/>
    <n v="3450"/>
    <x v="0"/>
    <x v="6"/>
    <x v="0"/>
  </r>
  <r>
    <x v="86"/>
    <x v="18"/>
    <x v="7"/>
    <x v="12"/>
    <x v="4"/>
    <n v="1725"/>
    <x v="0"/>
    <x v="6"/>
    <x v="0"/>
  </r>
  <r>
    <x v="86"/>
    <x v="18"/>
    <x v="80"/>
    <x v="2"/>
    <x v="4"/>
    <n v="4140"/>
    <x v="0"/>
    <x v="6"/>
    <x v="0"/>
  </r>
  <r>
    <x v="86"/>
    <x v="1"/>
    <x v="5"/>
    <x v="1"/>
    <x v="2"/>
    <m/>
    <x v="255"/>
    <x v="6"/>
    <x v="0"/>
  </r>
  <r>
    <x v="86"/>
    <x v="1"/>
    <x v="39"/>
    <x v="20"/>
    <x v="26"/>
    <n v="16500"/>
    <x v="0"/>
    <x v="6"/>
    <x v="0"/>
  </r>
  <r>
    <x v="86"/>
    <x v="1"/>
    <x v="7"/>
    <x v="14"/>
    <x v="4"/>
    <n v="5175"/>
    <x v="0"/>
    <x v="6"/>
    <x v="0"/>
  </r>
  <r>
    <x v="86"/>
    <x v="1"/>
    <x v="9"/>
    <x v="3"/>
    <x v="4"/>
    <n v="3450"/>
    <x v="0"/>
    <x v="6"/>
    <x v="0"/>
  </r>
  <r>
    <x v="86"/>
    <x v="15"/>
    <x v="5"/>
    <x v="1"/>
    <x v="2"/>
    <m/>
    <x v="256"/>
    <x v="6"/>
    <x v="0"/>
  </r>
  <r>
    <x v="86"/>
    <x v="15"/>
    <x v="7"/>
    <x v="0"/>
    <x v="4"/>
    <n v="1380"/>
    <x v="0"/>
    <x v="6"/>
    <x v="0"/>
  </r>
  <r>
    <x v="86"/>
    <x v="15"/>
    <x v="8"/>
    <x v="8"/>
    <x v="12"/>
    <n v="540"/>
    <x v="0"/>
    <x v="6"/>
    <x v="0"/>
  </r>
  <r>
    <x v="86"/>
    <x v="15"/>
    <x v="39"/>
    <x v="3"/>
    <x v="26"/>
    <n v="3300"/>
    <x v="0"/>
    <x v="6"/>
    <x v="0"/>
  </r>
  <r>
    <x v="86"/>
    <x v="15"/>
    <x v="7"/>
    <x v="10"/>
    <x v="39"/>
    <n v="700"/>
    <x v="0"/>
    <x v="6"/>
    <x v="0"/>
  </r>
  <r>
    <x v="86"/>
    <x v="15"/>
    <x v="39"/>
    <x v="12"/>
    <x v="26"/>
    <n v="1650"/>
    <x v="0"/>
    <x v="6"/>
    <x v="0"/>
  </r>
  <r>
    <x v="86"/>
    <x v="1"/>
    <x v="5"/>
    <x v="1"/>
    <x v="2"/>
    <m/>
    <x v="257"/>
    <x v="6"/>
    <x v="0"/>
  </r>
  <r>
    <x v="86"/>
    <x v="1"/>
    <x v="91"/>
    <x v="14"/>
    <x v="132"/>
    <n v="8850"/>
    <x v="0"/>
    <x v="6"/>
    <x v="0"/>
  </r>
  <r>
    <x v="86"/>
    <x v="17"/>
    <x v="5"/>
    <x v="1"/>
    <x v="2"/>
    <m/>
    <x v="20"/>
    <x v="6"/>
    <x v="0"/>
  </r>
  <r>
    <x v="86"/>
    <x v="17"/>
    <x v="39"/>
    <x v="3"/>
    <x v="26"/>
    <n v="3300"/>
    <x v="0"/>
    <x v="6"/>
    <x v="0"/>
  </r>
  <r>
    <x v="86"/>
    <x v="0"/>
    <x v="5"/>
    <x v="1"/>
    <x v="2"/>
    <m/>
    <x v="258"/>
    <x v="6"/>
    <x v="0"/>
  </r>
  <r>
    <x v="86"/>
    <x v="0"/>
    <x v="91"/>
    <x v="12"/>
    <x v="132"/>
    <n v="2950"/>
    <x v="0"/>
    <x v="6"/>
    <x v="0"/>
  </r>
  <r>
    <x v="87"/>
    <x v="5"/>
    <x v="5"/>
    <x v="1"/>
    <x v="2"/>
    <m/>
    <x v="259"/>
    <x v="6"/>
    <x v="0"/>
  </r>
  <r>
    <x v="87"/>
    <x v="5"/>
    <x v="49"/>
    <x v="26"/>
    <x v="43"/>
    <n v="5700"/>
    <x v="0"/>
    <x v="6"/>
    <x v="0"/>
  </r>
  <r>
    <x v="87"/>
    <x v="5"/>
    <x v="10"/>
    <x v="0"/>
    <x v="12"/>
    <n v="2160"/>
    <x v="0"/>
    <x v="6"/>
    <x v="0"/>
  </r>
  <r>
    <x v="87"/>
    <x v="5"/>
    <x v="73"/>
    <x v="10"/>
    <x v="12"/>
    <n v="1080"/>
    <x v="0"/>
    <x v="6"/>
    <x v="0"/>
  </r>
  <r>
    <x v="87"/>
    <x v="5"/>
    <x v="30"/>
    <x v="10"/>
    <x v="12"/>
    <n v="1080"/>
    <x v="0"/>
    <x v="6"/>
    <x v="0"/>
  </r>
  <r>
    <x v="87"/>
    <x v="5"/>
    <x v="0"/>
    <x v="8"/>
    <x v="133"/>
    <n v="620"/>
    <x v="0"/>
    <x v="6"/>
    <x v="0"/>
  </r>
  <r>
    <x v="87"/>
    <x v="5"/>
    <x v="39"/>
    <x v="16"/>
    <x v="26"/>
    <n v="9900"/>
    <x v="0"/>
    <x v="6"/>
    <x v="0"/>
  </r>
  <r>
    <x v="87"/>
    <x v="5"/>
    <x v="7"/>
    <x v="3"/>
    <x v="4"/>
    <n v="3450"/>
    <x v="0"/>
    <x v="6"/>
    <x v="0"/>
  </r>
  <r>
    <x v="87"/>
    <x v="5"/>
    <x v="9"/>
    <x v="3"/>
    <x v="4"/>
    <n v="3450"/>
    <x v="0"/>
    <x v="6"/>
    <x v="0"/>
  </r>
  <r>
    <x v="87"/>
    <x v="5"/>
    <x v="80"/>
    <x v="0"/>
    <x v="4"/>
    <n v="1380"/>
    <x v="0"/>
    <x v="6"/>
    <x v="0"/>
  </r>
  <r>
    <x v="87"/>
    <x v="5"/>
    <x v="81"/>
    <x v="0"/>
    <x v="4"/>
    <n v="1380"/>
    <x v="0"/>
    <x v="6"/>
    <x v="0"/>
  </r>
  <r>
    <x v="87"/>
    <x v="5"/>
    <x v="91"/>
    <x v="10"/>
    <x v="116"/>
    <n v="1200"/>
    <x v="0"/>
    <x v="6"/>
    <x v="0"/>
  </r>
  <r>
    <x v="87"/>
    <x v="17"/>
    <x v="5"/>
    <x v="1"/>
    <x v="2"/>
    <m/>
    <x v="20"/>
    <x v="6"/>
    <x v="0"/>
  </r>
  <r>
    <x v="87"/>
    <x v="17"/>
    <x v="39"/>
    <x v="3"/>
    <x v="26"/>
    <n v="3300"/>
    <x v="0"/>
    <x v="6"/>
    <x v="0"/>
  </r>
  <r>
    <x v="88"/>
    <x v="1"/>
    <x v="5"/>
    <x v="1"/>
    <x v="2"/>
    <m/>
    <x v="93"/>
    <x v="6"/>
    <x v="0"/>
  </r>
  <r>
    <x v="88"/>
    <x v="1"/>
    <x v="7"/>
    <x v="12"/>
    <x v="4"/>
    <n v="1725"/>
    <x v="0"/>
    <x v="6"/>
    <x v="0"/>
  </r>
  <r>
    <x v="89"/>
    <x v="11"/>
    <x v="5"/>
    <x v="1"/>
    <x v="2"/>
    <m/>
    <x v="260"/>
    <x v="6"/>
    <x v="0"/>
  </r>
  <r>
    <x v="89"/>
    <x v="11"/>
    <x v="39"/>
    <x v="16"/>
    <x v="26"/>
    <n v="9900"/>
    <x v="0"/>
    <x v="6"/>
    <x v="0"/>
  </r>
  <r>
    <x v="89"/>
    <x v="11"/>
    <x v="49"/>
    <x v="52"/>
    <x v="43"/>
    <n v="2850"/>
    <x v="0"/>
    <x v="6"/>
    <x v="0"/>
  </r>
  <r>
    <x v="89"/>
    <x v="23"/>
    <x v="5"/>
    <x v="1"/>
    <x v="2"/>
    <m/>
    <x v="261"/>
    <x v="6"/>
    <x v="0"/>
  </r>
  <r>
    <x v="89"/>
    <x v="23"/>
    <x v="39"/>
    <x v="12"/>
    <x v="6"/>
    <n v="1675"/>
    <x v="0"/>
    <x v="6"/>
    <x v="0"/>
  </r>
  <r>
    <x v="89"/>
    <x v="23"/>
    <x v="49"/>
    <x v="28"/>
    <x v="44"/>
    <n v="975"/>
    <x v="0"/>
    <x v="6"/>
    <x v="0"/>
  </r>
  <r>
    <x v="89"/>
    <x v="23"/>
    <x v="80"/>
    <x v="0"/>
    <x v="39"/>
    <n v="1400"/>
    <x v="0"/>
    <x v="6"/>
    <x v="0"/>
  </r>
  <r>
    <x v="89"/>
    <x v="23"/>
    <x v="81"/>
    <x v="0"/>
    <x v="39"/>
    <n v="1400"/>
    <x v="0"/>
    <x v="6"/>
    <x v="0"/>
  </r>
  <r>
    <x v="89"/>
    <x v="23"/>
    <x v="10"/>
    <x v="9"/>
    <x v="12"/>
    <n v="1620"/>
    <x v="0"/>
    <x v="6"/>
    <x v="0"/>
  </r>
  <r>
    <x v="89"/>
    <x v="23"/>
    <x v="41"/>
    <x v="8"/>
    <x v="9"/>
    <n v="645"/>
    <x v="0"/>
    <x v="6"/>
    <x v="0"/>
  </r>
  <r>
    <x v="89"/>
    <x v="23"/>
    <x v="91"/>
    <x v="8"/>
    <x v="116"/>
    <n v="600"/>
    <x v="0"/>
    <x v="6"/>
    <x v="0"/>
  </r>
  <r>
    <x v="89"/>
    <x v="23"/>
    <x v="9"/>
    <x v="9"/>
    <x v="39"/>
    <n v="1050"/>
    <x v="0"/>
    <x v="6"/>
    <x v="0"/>
  </r>
  <r>
    <x v="89"/>
    <x v="8"/>
    <x v="5"/>
    <x v="1"/>
    <x v="2"/>
    <m/>
    <x v="262"/>
    <x v="6"/>
    <x v="0"/>
  </r>
  <r>
    <x v="89"/>
    <x v="16"/>
    <x v="5"/>
    <x v="1"/>
    <x v="2"/>
    <m/>
    <x v="263"/>
    <x v="6"/>
    <x v="0"/>
  </r>
  <r>
    <x v="89"/>
    <x v="16"/>
    <x v="91"/>
    <x v="8"/>
    <x v="116"/>
    <n v="600"/>
    <x v="0"/>
    <x v="6"/>
    <x v="0"/>
  </r>
  <r>
    <x v="89"/>
    <x v="14"/>
    <x v="5"/>
    <x v="1"/>
    <x v="2"/>
    <m/>
    <x v="263"/>
    <x v="6"/>
    <x v="0"/>
  </r>
  <r>
    <x v="89"/>
    <x v="14"/>
    <x v="91"/>
    <x v="8"/>
    <x v="116"/>
    <n v="600"/>
    <x v="0"/>
    <x v="6"/>
    <x v="0"/>
  </r>
  <r>
    <x v="90"/>
    <x v="44"/>
    <x v="5"/>
    <x v="1"/>
    <x v="2"/>
    <m/>
    <x v="264"/>
    <x v="6"/>
    <x v="0"/>
  </r>
  <r>
    <x v="90"/>
    <x v="44"/>
    <x v="80"/>
    <x v="0"/>
    <x v="4"/>
    <n v="1380"/>
    <x v="0"/>
    <x v="6"/>
    <x v="0"/>
  </r>
  <r>
    <x v="90"/>
    <x v="44"/>
    <x v="81"/>
    <x v="0"/>
    <x v="4"/>
    <n v="1380"/>
    <x v="0"/>
    <x v="6"/>
    <x v="0"/>
  </r>
  <r>
    <x v="90"/>
    <x v="14"/>
    <x v="5"/>
    <x v="1"/>
    <x v="2"/>
    <m/>
    <x v="17"/>
    <x v="6"/>
    <x v="0"/>
  </r>
  <r>
    <x v="90"/>
    <x v="14"/>
    <x v="39"/>
    <x v="16"/>
    <x v="26"/>
    <n v="9900"/>
    <x v="0"/>
    <x v="6"/>
    <x v="0"/>
  </r>
  <r>
    <x v="90"/>
    <x v="44"/>
    <x v="5"/>
    <x v="1"/>
    <x v="2"/>
    <m/>
    <x v="20"/>
    <x v="6"/>
    <x v="0"/>
  </r>
  <r>
    <x v="90"/>
    <x v="44"/>
    <x v="39"/>
    <x v="3"/>
    <x v="26"/>
    <n v="3300"/>
    <x v="0"/>
    <x v="6"/>
    <x v="0"/>
  </r>
  <r>
    <x v="90"/>
    <x v="0"/>
    <x v="5"/>
    <x v="1"/>
    <x v="2"/>
    <m/>
    <x v="265"/>
    <x v="6"/>
    <x v="0"/>
  </r>
  <r>
    <x v="90"/>
    <x v="0"/>
    <x v="91"/>
    <x v="33"/>
    <x v="132"/>
    <n v="4130"/>
    <x v="0"/>
    <x v="6"/>
    <x v="0"/>
  </r>
  <r>
    <x v="91"/>
    <x v="15"/>
    <x v="5"/>
    <x v="1"/>
    <x v="2"/>
    <m/>
    <x v="214"/>
    <x v="6"/>
    <x v="0"/>
  </r>
  <r>
    <x v="91"/>
    <x v="15"/>
    <x v="39"/>
    <x v="9"/>
    <x v="58"/>
    <n v="1000"/>
    <x v="0"/>
    <x v="6"/>
    <x v="0"/>
  </r>
  <r>
    <x v="91"/>
    <x v="15"/>
    <x v="39"/>
    <x v="10"/>
    <x v="26"/>
    <n v="660"/>
    <x v="0"/>
    <x v="6"/>
    <x v="0"/>
  </r>
  <r>
    <x v="91"/>
    <x v="15"/>
    <x v="7"/>
    <x v="8"/>
    <x v="34"/>
    <n v="340"/>
    <x v="0"/>
    <x v="6"/>
    <x v="0"/>
  </r>
  <r>
    <x v="91"/>
    <x v="1"/>
    <x v="5"/>
    <x v="1"/>
    <x v="2"/>
    <m/>
    <x v="257"/>
    <x v="6"/>
    <x v="0"/>
  </r>
  <r>
    <x v="91"/>
    <x v="1"/>
    <x v="91"/>
    <x v="14"/>
    <x v="132"/>
    <n v="8850"/>
    <x v="0"/>
    <x v="6"/>
    <x v="0"/>
  </r>
  <r>
    <x v="92"/>
    <x v="12"/>
    <x v="5"/>
    <x v="1"/>
    <x v="2"/>
    <m/>
    <x v="184"/>
    <x v="6"/>
    <x v="0"/>
  </r>
  <r>
    <x v="92"/>
    <x v="12"/>
    <x v="91"/>
    <x v="2"/>
    <x v="134"/>
    <n v="7140"/>
    <x v="0"/>
    <x v="6"/>
    <x v="0"/>
  </r>
  <r>
    <x v="92"/>
    <x v="12"/>
    <x v="39"/>
    <x v="3"/>
    <x v="26"/>
    <n v="3300"/>
    <x v="0"/>
    <x v="6"/>
    <x v="0"/>
  </r>
  <r>
    <x v="92"/>
    <x v="15"/>
    <x v="5"/>
    <x v="1"/>
    <x v="2"/>
    <m/>
    <x v="266"/>
    <x v="6"/>
    <x v="0"/>
  </r>
  <r>
    <x v="92"/>
    <x v="15"/>
    <x v="8"/>
    <x v="20"/>
    <x v="32"/>
    <n v="26000"/>
    <x v="0"/>
    <x v="6"/>
    <x v="0"/>
  </r>
  <r>
    <x v="93"/>
    <x v="5"/>
    <x v="5"/>
    <x v="1"/>
    <x v="2"/>
    <m/>
    <x v="267"/>
    <x v="6"/>
    <x v="0"/>
  </r>
  <r>
    <x v="93"/>
    <x v="5"/>
    <x v="49"/>
    <x v="52"/>
    <x v="43"/>
    <n v="2850"/>
    <x v="0"/>
    <x v="6"/>
    <x v="0"/>
  </r>
  <r>
    <x v="93"/>
    <x v="5"/>
    <x v="39"/>
    <x v="11"/>
    <x v="26"/>
    <n v="1980"/>
    <x v="0"/>
    <x v="6"/>
    <x v="0"/>
  </r>
  <r>
    <x v="93"/>
    <x v="5"/>
    <x v="8"/>
    <x v="14"/>
    <x v="5"/>
    <n v="7875"/>
    <x v="0"/>
    <x v="6"/>
    <x v="0"/>
  </r>
  <r>
    <x v="93"/>
    <x v="5"/>
    <x v="80"/>
    <x v="0"/>
    <x v="4"/>
    <n v="1380"/>
    <x v="0"/>
    <x v="6"/>
    <x v="0"/>
  </r>
  <r>
    <x v="93"/>
    <x v="5"/>
    <x v="81"/>
    <x v="0"/>
    <x v="4"/>
    <n v="1380"/>
    <x v="0"/>
    <x v="6"/>
    <x v="0"/>
  </r>
  <r>
    <x v="93"/>
    <x v="5"/>
    <x v="10"/>
    <x v="11"/>
    <x v="12"/>
    <n v="3240"/>
    <x v="0"/>
    <x v="6"/>
    <x v="0"/>
  </r>
  <r>
    <x v="93"/>
    <x v="5"/>
    <x v="43"/>
    <x v="9"/>
    <x v="37"/>
    <n v="900"/>
    <x v="0"/>
    <x v="6"/>
    <x v="0"/>
  </r>
  <r>
    <x v="93"/>
    <x v="5"/>
    <x v="91"/>
    <x v="12"/>
    <x v="116"/>
    <n v="3000"/>
    <x v="0"/>
    <x v="6"/>
    <x v="0"/>
  </r>
  <r>
    <x v="93"/>
    <x v="16"/>
    <x v="5"/>
    <x v="1"/>
    <x v="2"/>
    <m/>
    <x v="263"/>
    <x v="6"/>
    <x v="0"/>
  </r>
  <r>
    <x v="93"/>
    <x v="16"/>
    <x v="91"/>
    <x v="8"/>
    <x v="116"/>
    <n v="600"/>
    <x v="0"/>
    <x v="6"/>
    <x v="0"/>
  </r>
  <r>
    <x v="93"/>
    <x v="15"/>
    <x v="5"/>
    <x v="1"/>
    <x v="2"/>
    <m/>
    <x v="264"/>
    <x v="6"/>
    <x v="0"/>
  </r>
  <r>
    <x v="93"/>
    <x v="15"/>
    <x v="80"/>
    <x v="0"/>
    <x v="4"/>
    <n v="1380"/>
    <x v="0"/>
    <x v="6"/>
    <x v="0"/>
  </r>
  <r>
    <x v="93"/>
    <x v="15"/>
    <x v="81"/>
    <x v="0"/>
    <x v="4"/>
    <n v="1380"/>
    <x v="0"/>
    <x v="6"/>
    <x v="0"/>
  </r>
  <r>
    <x v="94"/>
    <x v="17"/>
    <x v="5"/>
    <x v="1"/>
    <x v="2"/>
    <m/>
    <x v="20"/>
    <x v="6"/>
    <x v="0"/>
  </r>
  <r>
    <x v="94"/>
    <x v="17"/>
    <x v="39"/>
    <x v="3"/>
    <x v="26"/>
    <n v="3300"/>
    <x v="0"/>
    <x v="6"/>
    <x v="0"/>
  </r>
  <r>
    <x v="94"/>
    <x v="1"/>
    <x v="5"/>
    <x v="1"/>
    <x v="2"/>
    <m/>
    <x v="155"/>
    <x v="6"/>
    <x v="0"/>
  </r>
  <r>
    <x v="94"/>
    <x v="1"/>
    <x v="39"/>
    <x v="20"/>
    <x v="26"/>
    <n v="16500"/>
    <x v="0"/>
    <x v="6"/>
    <x v="0"/>
  </r>
  <r>
    <x v="94"/>
    <x v="1"/>
    <x v="7"/>
    <x v="4"/>
    <x v="4"/>
    <n v="6900"/>
    <x v="0"/>
    <x v="6"/>
    <x v="0"/>
  </r>
  <r>
    <x v="94"/>
    <x v="15"/>
    <x v="5"/>
    <x v="1"/>
    <x v="2"/>
    <m/>
    <x v="268"/>
    <x v="6"/>
    <x v="0"/>
  </r>
  <r>
    <x v="94"/>
    <x v="15"/>
    <x v="35"/>
    <x v="3"/>
    <x v="1"/>
    <n v="1800"/>
    <x v="0"/>
    <x v="6"/>
    <x v="0"/>
  </r>
  <r>
    <x v="94"/>
    <x v="15"/>
    <x v="5"/>
    <x v="1"/>
    <x v="2"/>
    <m/>
    <x v="269"/>
    <x v="6"/>
    <x v="0"/>
  </r>
  <r>
    <x v="94"/>
    <x v="15"/>
    <x v="55"/>
    <x v="11"/>
    <x v="64"/>
    <n v="960"/>
    <x v="0"/>
    <x v="6"/>
    <x v="0"/>
  </r>
  <r>
    <x v="94"/>
    <x v="15"/>
    <x v="85"/>
    <x v="10"/>
    <x v="80"/>
    <n v="1060"/>
    <x v="0"/>
    <x v="6"/>
    <x v="0"/>
  </r>
  <r>
    <x v="94"/>
    <x v="15"/>
    <x v="8"/>
    <x v="12"/>
    <x v="32"/>
    <n v="2600"/>
    <x v="0"/>
    <x v="6"/>
    <x v="0"/>
  </r>
  <r>
    <x v="95"/>
    <x v="0"/>
    <x v="5"/>
    <x v="1"/>
    <x v="2"/>
    <m/>
    <x v="270"/>
    <x v="7"/>
    <x v="0"/>
  </r>
  <r>
    <x v="95"/>
    <x v="0"/>
    <x v="12"/>
    <x v="64"/>
    <x v="2"/>
    <n v="10800"/>
    <x v="0"/>
    <x v="7"/>
    <x v="0"/>
  </r>
  <r>
    <x v="95"/>
    <x v="0"/>
    <x v="39"/>
    <x v="3"/>
    <x v="26"/>
    <n v="3300"/>
    <x v="0"/>
    <x v="7"/>
    <x v="0"/>
  </r>
  <r>
    <x v="95"/>
    <x v="0"/>
    <x v="49"/>
    <x v="26"/>
    <x v="43"/>
    <n v="5700"/>
    <x v="0"/>
    <x v="7"/>
    <x v="0"/>
  </r>
  <r>
    <x v="95"/>
    <x v="0"/>
    <x v="91"/>
    <x v="9"/>
    <x v="116"/>
    <n v="1800"/>
    <x v="0"/>
    <x v="7"/>
    <x v="0"/>
  </r>
  <r>
    <x v="95"/>
    <x v="3"/>
    <x v="5"/>
    <x v="1"/>
    <x v="2"/>
    <m/>
    <x v="150"/>
    <x v="7"/>
    <x v="0"/>
  </r>
  <r>
    <x v="95"/>
    <x v="3"/>
    <x v="8"/>
    <x v="12"/>
    <x v="12"/>
    <n v="2700"/>
    <x v="0"/>
    <x v="7"/>
    <x v="0"/>
  </r>
  <r>
    <x v="95"/>
    <x v="5"/>
    <x v="5"/>
    <x v="1"/>
    <x v="2"/>
    <m/>
    <x v="54"/>
    <x v="7"/>
    <x v="0"/>
  </r>
  <r>
    <x v="95"/>
    <x v="5"/>
    <x v="39"/>
    <x v="4"/>
    <x v="26"/>
    <n v="6600"/>
    <x v="0"/>
    <x v="7"/>
    <x v="0"/>
  </r>
  <r>
    <x v="95"/>
    <x v="5"/>
    <x v="7"/>
    <x v="3"/>
    <x v="4"/>
    <n v="3450"/>
    <x v="0"/>
    <x v="7"/>
    <x v="0"/>
  </r>
  <r>
    <x v="95"/>
    <x v="45"/>
    <x v="5"/>
    <x v="1"/>
    <x v="2"/>
    <m/>
    <x v="253"/>
    <x v="7"/>
    <x v="0"/>
  </r>
  <r>
    <x v="95"/>
    <x v="45"/>
    <x v="6"/>
    <x v="10"/>
    <x v="3"/>
    <n v="840"/>
    <x v="0"/>
    <x v="7"/>
    <x v="0"/>
  </r>
  <r>
    <x v="96"/>
    <x v="15"/>
    <x v="5"/>
    <x v="1"/>
    <x v="2"/>
    <m/>
    <x v="271"/>
    <x v="7"/>
    <x v="0"/>
  </r>
  <r>
    <x v="96"/>
    <x v="15"/>
    <x v="6"/>
    <x v="9"/>
    <x v="3"/>
    <n v="1260"/>
    <x v="0"/>
    <x v="7"/>
    <x v="0"/>
  </r>
  <r>
    <x v="96"/>
    <x v="15"/>
    <x v="8"/>
    <x v="12"/>
    <x v="32"/>
    <n v="2600"/>
    <x v="0"/>
    <x v="7"/>
    <x v="0"/>
  </r>
  <r>
    <x v="96"/>
    <x v="0"/>
    <x v="5"/>
    <x v="1"/>
    <x v="2"/>
    <m/>
    <x v="272"/>
    <x v="7"/>
    <x v="0"/>
  </r>
  <r>
    <x v="96"/>
    <x v="0"/>
    <x v="6"/>
    <x v="2"/>
    <x v="3"/>
    <n v="5040"/>
    <x v="0"/>
    <x v="7"/>
    <x v="0"/>
  </r>
  <r>
    <x v="96"/>
    <x v="0"/>
    <x v="85"/>
    <x v="2"/>
    <x v="29"/>
    <n v="5880"/>
    <x v="0"/>
    <x v="7"/>
    <x v="0"/>
  </r>
  <r>
    <x v="97"/>
    <x v="1"/>
    <x v="5"/>
    <x v="1"/>
    <x v="2"/>
    <m/>
    <x v="273"/>
    <x v="7"/>
    <x v="0"/>
  </r>
  <r>
    <x v="97"/>
    <x v="1"/>
    <x v="91"/>
    <x v="0"/>
    <x v="132"/>
    <n v="2360"/>
    <x v="0"/>
    <x v="7"/>
    <x v="0"/>
  </r>
  <r>
    <x v="97"/>
    <x v="14"/>
    <x v="5"/>
    <x v="1"/>
    <x v="2"/>
    <m/>
    <x v="274"/>
    <x v="7"/>
    <x v="0"/>
  </r>
  <r>
    <x v="97"/>
    <x v="14"/>
    <x v="85"/>
    <x v="10"/>
    <x v="42"/>
    <n v="970"/>
    <x v="0"/>
    <x v="7"/>
    <x v="0"/>
  </r>
  <r>
    <x v="98"/>
    <x v="15"/>
    <x v="5"/>
    <x v="1"/>
    <x v="2"/>
    <m/>
    <x v="228"/>
    <x v="7"/>
    <x v="0"/>
  </r>
  <r>
    <x v="98"/>
    <x v="15"/>
    <x v="8"/>
    <x v="12"/>
    <x v="32"/>
    <n v="2600"/>
    <x v="0"/>
    <x v="7"/>
    <x v="0"/>
  </r>
  <r>
    <x v="98"/>
    <x v="15"/>
    <x v="81"/>
    <x v="0"/>
    <x v="4"/>
    <n v="1380"/>
    <x v="0"/>
    <x v="7"/>
    <x v="0"/>
  </r>
  <r>
    <x v="99"/>
    <x v="15"/>
    <x v="5"/>
    <x v="1"/>
    <x v="2"/>
    <m/>
    <x v="82"/>
    <x v="7"/>
    <x v="0"/>
  </r>
  <r>
    <x v="99"/>
    <x v="15"/>
    <x v="55"/>
    <x v="11"/>
    <x v="60"/>
    <n v="1000"/>
    <x v="0"/>
    <x v="7"/>
    <x v="0"/>
  </r>
  <r>
    <x v="100"/>
    <x v="1"/>
    <x v="5"/>
    <x v="1"/>
    <x v="2"/>
    <m/>
    <x v="275"/>
    <x v="7"/>
    <x v="0"/>
  </r>
  <r>
    <x v="100"/>
    <x v="1"/>
    <x v="91"/>
    <x v="10"/>
    <x v="132"/>
    <n v="1180"/>
    <x v="0"/>
    <x v="7"/>
    <x v="0"/>
  </r>
  <r>
    <x v="100"/>
    <x v="15"/>
    <x v="5"/>
    <x v="1"/>
    <x v="2"/>
    <m/>
    <x v="276"/>
    <x v="7"/>
    <x v="0"/>
  </r>
  <r>
    <x v="100"/>
    <x v="15"/>
    <x v="39"/>
    <x v="10"/>
    <x v="26"/>
    <n v="660"/>
    <x v="0"/>
    <x v="7"/>
    <x v="0"/>
  </r>
  <r>
    <x v="100"/>
    <x v="15"/>
    <x v="8"/>
    <x v="8"/>
    <x v="80"/>
    <n v="530"/>
    <x v="0"/>
    <x v="7"/>
    <x v="0"/>
  </r>
  <r>
    <x v="100"/>
    <x v="15"/>
    <x v="7"/>
    <x v="8"/>
    <x v="4"/>
    <n v="345"/>
    <x v="0"/>
    <x v="7"/>
    <x v="0"/>
  </r>
  <r>
    <x v="100"/>
    <x v="8"/>
    <x v="5"/>
    <x v="1"/>
    <x v="2"/>
    <m/>
    <x v="277"/>
    <x v="7"/>
    <x v="0"/>
  </r>
  <r>
    <x v="100"/>
    <x v="16"/>
    <x v="5"/>
    <x v="1"/>
    <x v="2"/>
    <m/>
    <x v="263"/>
    <x v="7"/>
    <x v="0"/>
  </r>
  <r>
    <x v="100"/>
    <x v="16"/>
    <x v="91"/>
    <x v="8"/>
    <x v="116"/>
    <n v="600"/>
    <x v="0"/>
    <x v="7"/>
    <x v="0"/>
  </r>
  <r>
    <x v="101"/>
    <x v="48"/>
    <x v="5"/>
    <x v="1"/>
    <x v="2"/>
    <m/>
    <x v="247"/>
    <x v="7"/>
    <x v="0"/>
  </r>
  <r>
    <x v="101"/>
    <x v="48"/>
    <x v="85"/>
    <x v="11"/>
    <x v="129"/>
    <n v="3090"/>
    <x v="0"/>
    <x v="7"/>
    <x v="0"/>
  </r>
  <r>
    <x v="101"/>
    <x v="29"/>
    <x v="5"/>
    <x v="1"/>
    <x v="2"/>
    <m/>
    <x v="167"/>
    <x v="7"/>
    <x v="0"/>
  </r>
  <r>
    <x v="101"/>
    <x v="29"/>
    <x v="85"/>
    <x v="2"/>
    <x v="129"/>
    <n v="6180"/>
    <x v="0"/>
    <x v="7"/>
    <x v="0"/>
  </r>
  <r>
    <x v="102"/>
    <x v="1"/>
    <x v="5"/>
    <x v="1"/>
    <x v="2"/>
    <m/>
    <x v="278"/>
    <x v="7"/>
    <x v="0"/>
  </r>
  <r>
    <x v="102"/>
    <x v="1"/>
    <x v="91"/>
    <x v="55"/>
    <x v="132"/>
    <n v="8260"/>
    <x v="0"/>
    <x v="7"/>
    <x v="0"/>
  </r>
  <r>
    <x v="102"/>
    <x v="16"/>
    <x v="5"/>
    <x v="1"/>
    <x v="2"/>
    <m/>
    <x v="279"/>
    <x v="7"/>
    <x v="0"/>
  </r>
  <r>
    <x v="102"/>
    <x v="16"/>
    <x v="91"/>
    <x v="0"/>
    <x v="116"/>
    <n v="2400"/>
    <x v="0"/>
    <x v="7"/>
    <x v="0"/>
  </r>
  <r>
    <x v="102"/>
    <x v="15"/>
    <x v="5"/>
    <x v="1"/>
    <x v="2"/>
    <m/>
    <x v="280"/>
    <x v="7"/>
    <x v="0"/>
  </r>
  <r>
    <x v="102"/>
    <x v="15"/>
    <x v="8"/>
    <x v="12"/>
    <x v="32"/>
    <n v="2600"/>
    <x v="0"/>
    <x v="7"/>
    <x v="0"/>
  </r>
  <r>
    <x v="102"/>
    <x v="15"/>
    <x v="8"/>
    <x v="4"/>
    <x v="32"/>
    <n v="10400"/>
    <x v="0"/>
    <x v="7"/>
    <x v="0"/>
  </r>
  <r>
    <x v="103"/>
    <x v="34"/>
    <x v="5"/>
    <x v="1"/>
    <x v="2"/>
    <m/>
    <x v="281"/>
    <x v="7"/>
    <x v="0"/>
  </r>
  <r>
    <x v="103"/>
    <x v="34"/>
    <x v="8"/>
    <x v="12"/>
    <x v="12"/>
    <n v="2700"/>
    <x v="0"/>
    <x v="7"/>
    <x v="0"/>
  </r>
  <r>
    <x v="103"/>
    <x v="34"/>
    <x v="92"/>
    <x v="8"/>
    <x v="135"/>
    <n v="480"/>
    <x v="0"/>
    <x v="7"/>
    <x v="0"/>
  </r>
  <r>
    <x v="103"/>
    <x v="34"/>
    <x v="93"/>
    <x v="8"/>
    <x v="135"/>
    <n v="480"/>
    <x v="0"/>
    <x v="7"/>
    <x v="0"/>
  </r>
  <r>
    <x v="103"/>
    <x v="34"/>
    <x v="82"/>
    <x v="8"/>
    <x v="135"/>
    <n v="480"/>
    <x v="0"/>
    <x v="7"/>
    <x v="0"/>
  </r>
  <r>
    <x v="104"/>
    <x v="1"/>
    <x v="5"/>
    <x v="1"/>
    <x v="2"/>
    <m/>
    <x v="265"/>
    <x v="7"/>
    <x v="0"/>
  </r>
  <r>
    <x v="104"/>
    <x v="1"/>
    <x v="91"/>
    <x v="33"/>
    <x v="132"/>
    <n v="4130"/>
    <x v="0"/>
    <x v="7"/>
    <x v="0"/>
  </r>
  <r>
    <x v="104"/>
    <x v="46"/>
    <x v="5"/>
    <x v="1"/>
    <x v="2"/>
    <m/>
    <x v="282"/>
    <x v="7"/>
    <x v="0"/>
  </r>
  <r>
    <x v="104"/>
    <x v="46"/>
    <x v="78"/>
    <x v="4"/>
    <x v="120"/>
    <n v="2340"/>
    <x v="0"/>
    <x v="7"/>
    <x v="0"/>
  </r>
  <r>
    <x v="104"/>
    <x v="46"/>
    <x v="85"/>
    <x v="9"/>
    <x v="129"/>
    <n v="1545"/>
    <x v="0"/>
    <x v="7"/>
    <x v="0"/>
  </r>
  <r>
    <x v="104"/>
    <x v="0"/>
    <x v="5"/>
    <x v="1"/>
    <x v="2"/>
    <m/>
    <x v="180"/>
    <x v="7"/>
    <x v="0"/>
  </r>
  <r>
    <x v="104"/>
    <x v="0"/>
    <x v="86"/>
    <x v="4"/>
    <x v="136"/>
    <n v="5100"/>
    <x v="0"/>
    <x v="7"/>
    <x v="0"/>
  </r>
  <r>
    <x v="104"/>
    <x v="0"/>
    <x v="62"/>
    <x v="3"/>
    <x v="59"/>
    <n v="2780"/>
    <x v="0"/>
    <x v="7"/>
    <x v="0"/>
  </r>
  <r>
    <x v="104"/>
    <x v="0"/>
    <x v="68"/>
    <x v="3"/>
    <x v="97"/>
    <n v="5480"/>
    <x v="0"/>
    <x v="7"/>
    <x v="0"/>
  </r>
  <r>
    <x v="104"/>
    <x v="49"/>
    <x v="5"/>
    <x v="1"/>
    <x v="2"/>
    <m/>
    <x v="283"/>
    <x v="7"/>
    <x v="0"/>
  </r>
  <r>
    <x v="104"/>
    <x v="49"/>
    <x v="4"/>
    <x v="14"/>
    <x v="24"/>
    <n v="2775"/>
    <x v="0"/>
    <x v="7"/>
    <x v="0"/>
  </r>
  <r>
    <x v="104"/>
    <x v="33"/>
    <x v="5"/>
    <x v="1"/>
    <x v="2"/>
    <m/>
    <x v="284"/>
    <x v="7"/>
    <x v="0"/>
  </r>
  <r>
    <x v="104"/>
    <x v="33"/>
    <x v="68"/>
    <x v="47"/>
    <x v="97"/>
    <n v="9864"/>
    <x v="0"/>
    <x v="7"/>
    <x v="0"/>
  </r>
  <r>
    <x v="105"/>
    <x v="1"/>
    <x v="5"/>
    <x v="1"/>
    <x v="2"/>
    <m/>
    <x v="285"/>
    <x v="7"/>
    <x v="0"/>
  </r>
  <r>
    <x v="105"/>
    <x v="1"/>
    <x v="91"/>
    <x v="12"/>
    <x v="132"/>
    <n v="2950"/>
    <x v="0"/>
    <x v="7"/>
    <x v="0"/>
  </r>
  <r>
    <x v="105"/>
    <x v="1"/>
    <x v="39"/>
    <x v="17"/>
    <x v="26"/>
    <n v="13200"/>
    <x v="0"/>
    <x v="7"/>
    <x v="0"/>
  </r>
  <r>
    <x v="105"/>
    <x v="1"/>
    <x v="7"/>
    <x v="14"/>
    <x v="4"/>
    <n v="5175"/>
    <x v="0"/>
    <x v="7"/>
    <x v="0"/>
  </r>
  <r>
    <x v="105"/>
    <x v="1"/>
    <x v="9"/>
    <x v="11"/>
    <x v="4"/>
    <n v="2070"/>
    <x v="0"/>
    <x v="7"/>
    <x v="0"/>
  </r>
  <r>
    <x v="106"/>
    <x v="47"/>
    <x v="5"/>
    <x v="1"/>
    <x v="2"/>
    <m/>
    <x v="286"/>
    <x v="7"/>
    <x v="0"/>
  </r>
  <r>
    <x v="106"/>
    <x v="47"/>
    <x v="89"/>
    <x v="0"/>
    <x v="68"/>
    <n v="1280"/>
    <x v="0"/>
    <x v="7"/>
    <x v="0"/>
  </r>
  <r>
    <x v="106"/>
    <x v="25"/>
    <x v="5"/>
    <x v="1"/>
    <x v="2"/>
    <m/>
    <x v="287"/>
    <x v="7"/>
    <x v="0"/>
  </r>
  <r>
    <x v="106"/>
    <x v="25"/>
    <x v="85"/>
    <x v="11"/>
    <x v="129"/>
    <n v="3090"/>
    <x v="0"/>
    <x v="7"/>
    <x v="0"/>
  </r>
  <r>
    <x v="106"/>
    <x v="25"/>
    <x v="62"/>
    <x v="3"/>
    <x v="59"/>
    <n v="2780"/>
    <x v="0"/>
    <x v="7"/>
    <x v="0"/>
  </r>
  <r>
    <x v="106"/>
    <x v="25"/>
    <x v="78"/>
    <x v="4"/>
    <x v="120"/>
    <n v="2340"/>
    <x v="0"/>
    <x v="7"/>
    <x v="0"/>
  </r>
  <r>
    <x v="106"/>
    <x v="41"/>
    <x v="5"/>
    <x v="1"/>
    <x v="2"/>
    <m/>
    <x v="288"/>
    <x v="7"/>
    <x v="0"/>
  </r>
  <r>
    <x v="106"/>
    <x v="41"/>
    <x v="85"/>
    <x v="9"/>
    <x v="129"/>
    <n v="1545"/>
    <x v="0"/>
    <x v="7"/>
    <x v="0"/>
  </r>
  <r>
    <x v="106"/>
    <x v="32"/>
    <x v="5"/>
    <x v="1"/>
    <x v="2"/>
    <m/>
    <x v="289"/>
    <x v="7"/>
    <x v="0"/>
  </r>
  <r>
    <x v="106"/>
    <x v="32"/>
    <x v="62"/>
    <x v="11"/>
    <x v="59"/>
    <n v="1668"/>
    <x v="0"/>
    <x v="7"/>
    <x v="0"/>
  </r>
  <r>
    <x v="106"/>
    <x v="0"/>
    <x v="5"/>
    <x v="1"/>
    <x v="2"/>
    <m/>
    <x v="146"/>
    <x v="7"/>
    <x v="0"/>
  </r>
  <r>
    <x v="106"/>
    <x v="0"/>
    <x v="12"/>
    <x v="65"/>
    <x v="2"/>
    <n v="3000"/>
    <x v="0"/>
    <x v="7"/>
    <x v="0"/>
  </r>
  <r>
    <x v="106"/>
    <x v="0"/>
    <x v="91"/>
    <x v="12"/>
    <x v="116"/>
    <n v="3000"/>
    <x v="0"/>
    <x v="7"/>
    <x v="0"/>
  </r>
  <r>
    <x v="106"/>
    <x v="1"/>
    <x v="5"/>
    <x v="1"/>
    <x v="2"/>
    <m/>
    <x v="290"/>
    <x v="7"/>
    <x v="0"/>
  </r>
  <r>
    <x v="106"/>
    <x v="1"/>
    <x v="91"/>
    <x v="39"/>
    <x v="132"/>
    <n v="14750"/>
    <x v="0"/>
    <x v="7"/>
    <x v="0"/>
  </r>
  <r>
    <x v="106"/>
    <x v="12"/>
    <x v="5"/>
    <x v="1"/>
    <x v="2"/>
    <m/>
    <x v="291"/>
    <x v="7"/>
    <x v="0"/>
  </r>
  <r>
    <x v="106"/>
    <x v="12"/>
    <x v="91"/>
    <x v="2"/>
    <x v="116"/>
    <n v="7200"/>
    <x v="0"/>
    <x v="7"/>
    <x v="0"/>
  </r>
  <r>
    <x v="106"/>
    <x v="15"/>
    <x v="5"/>
    <x v="1"/>
    <x v="2"/>
    <m/>
    <x v="271"/>
    <x v="7"/>
    <x v="0"/>
  </r>
  <r>
    <x v="106"/>
    <x v="15"/>
    <x v="8"/>
    <x v="12"/>
    <x v="32"/>
    <n v="2600"/>
    <x v="0"/>
    <x v="7"/>
    <x v="0"/>
  </r>
  <r>
    <x v="106"/>
    <x v="15"/>
    <x v="6"/>
    <x v="9"/>
    <x v="3"/>
    <n v="1260"/>
    <x v="0"/>
    <x v="7"/>
    <x v="0"/>
  </r>
  <r>
    <x v="107"/>
    <x v="31"/>
    <x v="5"/>
    <x v="1"/>
    <x v="2"/>
    <m/>
    <x v="292"/>
    <x v="7"/>
    <x v="0"/>
  </r>
  <r>
    <x v="107"/>
    <x v="31"/>
    <x v="68"/>
    <x v="11"/>
    <x v="123"/>
    <n v="3276"/>
    <x v="0"/>
    <x v="7"/>
    <x v="0"/>
  </r>
  <r>
    <x v="107"/>
    <x v="31"/>
    <x v="78"/>
    <x v="4"/>
    <x v="120"/>
    <n v="2340"/>
    <x v="0"/>
    <x v="7"/>
    <x v="0"/>
  </r>
  <r>
    <x v="107"/>
    <x v="31"/>
    <x v="6"/>
    <x v="11"/>
    <x v="118"/>
    <n v="2490"/>
    <x v="0"/>
    <x v="7"/>
    <x v="0"/>
  </r>
  <r>
    <x v="107"/>
    <x v="31"/>
    <x v="94"/>
    <x v="4"/>
    <x v="137"/>
    <n v="2040"/>
    <x v="0"/>
    <x v="7"/>
    <x v="0"/>
  </r>
  <r>
    <x v="107"/>
    <x v="3"/>
    <x v="5"/>
    <x v="1"/>
    <x v="2"/>
    <m/>
    <x v="293"/>
    <x v="7"/>
    <x v="0"/>
  </r>
  <r>
    <x v="107"/>
    <x v="3"/>
    <x v="19"/>
    <x v="17"/>
    <x v="17"/>
    <n v="25200"/>
    <x v="0"/>
    <x v="7"/>
    <x v="0"/>
  </r>
  <r>
    <x v="107"/>
    <x v="15"/>
    <x v="5"/>
    <x v="1"/>
    <x v="2"/>
    <m/>
    <x v="125"/>
    <x v="7"/>
    <x v="0"/>
  </r>
  <r>
    <x v="107"/>
    <x v="15"/>
    <x v="19"/>
    <x v="9"/>
    <x v="138"/>
    <n v="1960"/>
    <x v="0"/>
    <x v="7"/>
    <x v="0"/>
  </r>
  <r>
    <x v="108"/>
    <x v="5"/>
    <x v="5"/>
    <x v="1"/>
    <x v="2"/>
    <m/>
    <x v="294"/>
    <x v="7"/>
    <x v="0"/>
  </r>
  <r>
    <x v="108"/>
    <x v="5"/>
    <x v="35"/>
    <x v="3"/>
    <x v="1"/>
    <n v="1800"/>
    <x v="0"/>
    <x v="7"/>
    <x v="0"/>
  </r>
  <r>
    <x v="108"/>
    <x v="5"/>
    <x v="49"/>
    <x v="38"/>
    <x v="43"/>
    <n v="3800"/>
    <x v="0"/>
    <x v="7"/>
    <x v="0"/>
  </r>
  <r>
    <x v="108"/>
    <x v="5"/>
    <x v="91"/>
    <x v="11"/>
    <x v="132"/>
    <n v="3540"/>
    <x v="0"/>
    <x v="7"/>
    <x v="0"/>
  </r>
  <r>
    <x v="108"/>
    <x v="5"/>
    <x v="10"/>
    <x v="11"/>
    <x v="12"/>
    <n v="3240"/>
    <x v="0"/>
    <x v="7"/>
    <x v="0"/>
  </r>
  <r>
    <x v="108"/>
    <x v="5"/>
    <x v="0"/>
    <x v="8"/>
    <x v="133"/>
    <n v="620"/>
    <x v="0"/>
    <x v="7"/>
    <x v="0"/>
  </r>
  <r>
    <x v="108"/>
    <x v="5"/>
    <x v="81"/>
    <x v="11"/>
    <x v="4"/>
    <n v="2070"/>
    <x v="0"/>
    <x v="7"/>
    <x v="0"/>
  </r>
  <r>
    <x v="108"/>
    <x v="5"/>
    <x v="7"/>
    <x v="0"/>
    <x v="4"/>
    <n v="1380"/>
    <x v="0"/>
    <x v="7"/>
    <x v="0"/>
  </r>
  <r>
    <x v="108"/>
    <x v="5"/>
    <x v="8"/>
    <x v="11"/>
    <x v="12"/>
    <n v="3240"/>
    <x v="0"/>
    <x v="7"/>
    <x v="0"/>
  </r>
  <r>
    <x v="108"/>
    <x v="0"/>
    <x v="5"/>
    <x v="1"/>
    <x v="2"/>
    <m/>
    <x v="258"/>
    <x v="7"/>
    <x v="0"/>
  </r>
  <r>
    <x v="108"/>
    <x v="0"/>
    <x v="91"/>
    <x v="12"/>
    <x v="132"/>
    <n v="2950"/>
    <x v="0"/>
    <x v="7"/>
    <x v="0"/>
  </r>
  <r>
    <x v="108"/>
    <x v="50"/>
    <x v="5"/>
    <x v="1"/>
    <x v="2"/>
    <m/>
    <x v="295"/>
    <x v="7"/>
    <x v="0"/>
  </r>
  <r>
    <x v="108"/>
    <x v="50"/>
    <x v="91"/>
    <x v="11"/>
    <x v="132"/>
    <n v="3540"/>
    <x v="0"/>
    <x v="7"/>
    <x v="0"/>
  </r>
  <r>
    <x v="109"/>
    <x v="13"/>
    <x v="5"/>
    <x v="1"/>
    <x v="2"/>
    <m/>
    <x v="296"/>
    <x v="7"/>
    <x v="0"/>
  </r>
  <r>
    <x v="109"/>
    <x v="13"/>
    <x v="91"/>
    <x v="45"/>
    <x v="132"/>
    <n v="4720"/>
    <x v="0"/>
    <x v="7"/>
    <x v="0"/>
  </r>
  <r>
    <x v="109"/>
    <x v="51"/>
    <x v="5"/>
    <x v="1"/>
    <x v="2"/>
    <m/>
    <x v="297"/>
    <x v="7"/>
    <x v="0"/>
  </r>
  <r>
    <x v="109"/>
    <x v="51"/>
    <x v="91"/>
    <x v="5"/>
    <x v="132"/>
    <n v="5310"/>
    <x v="0"/>
    <x v="7"/>
    <x v="0"/>
  </r>
  <r>
    <x v="109"/>
    <x v="16"/>
    <x v="5"/>
    <x v="1"/>
    <x v="2"/>
    <m/>
    <x v="298"/>
    <x v="7"/>
    <x v="0"/>
  </r>
  <r>
    <x v="109"/>
    <x v="16"/>
    <x v="91"/>
    <x v="45"/>
    <x v="116"/>
    <n v="4800"/>
    <x v="0"/>
    <x v="7"/>
    <x v="0"/>
  </r>
  <r>
    <x v="109"/>
    <x v="15"/>
    <x v="5"/>
    <x v="1"/>
    <x v="2"/>
    <m/>
    <x v="299"/>
    <x v="7"/>
    <x v="0"/>
  </r>
  <r>
    <x v="109"/>
    <x v="15"/>
    <x v="81"/>
    <x v="45"/>
    <x v="34"/>
    <n v="2720"/>
    <x v="0"/>
    <x v="7"/>
    <x v="0"/>
  </r>
  <r>
    <x v="109"/>
    <x v="0"/>
    <x v="5"/>
    <x v="1"/>
    <x v="2"/>
    <m/>
    <x v="300"/>
    <x v="7"/>
    <x v="0"/>
  </r>
  <r>
    <x v="109"/>
    <x v="0"/>
    <x v="66"/>
    <x v="9"/>
    <x v="122"/>
    <n v="7920"/>
    <x v="0"/>
    <x v="7"/>
    <x v="0"/>
  </r>
  <r>
    <x v="110"/>
    <x v="15"/>
    <x v="5"/>
    <x v="1"/>
    <x v="2"/>
    <m/>
    <x v="301"/>
    <x v="7"/>
    <x v="0"/>
  </r>
  <r>
    <x v="110"/>
    <x v="15"/>
    <x v="80"/>
    <x v="0"/>
    <x v="4"/>
    <n v="1380"/>
    <x v="0"/>
    <x v="7"/>
    <x v="0"/>
  </r>
  <r>
    <x v="110"/>
    <x v="15"/>
    <x v="39"/>
    <x v="3"/>
    <x v="26"/>
    <n v="3300"/>
    <x v="0"/>
    <x v="7"/>
    <x v="0"/>
  </r>
  <r>
    <x v="110"/>
    <x v="15"/>
    <x v="7"/>
    <x v="12"/>
    <x v="4"/>
    <n v="1725"/>
    <x v="0"/>
    <x v="7"/>
    <x v="0"/>
  </r>
  <r>
    <x v="110"/>
    <x v="15"/>
    <x v="89"/>
    <x v="8"/>
    <x v="68"/>
    <n v="320"/>
    <x v="0"/>
    <x v="7"/>
    <x v="0"/>
  </r>
  <r>
    <x v="110"/>
    <x v="15"/>
    <x v="65"/>
    <x v="9"/>
    <x v="64"/>
    <n v="480"/>
    <x v="0"/>
    <x v="7"/>
    <x v="0"/>
  </r>
  <r>
    <x v="111"/>
    <x v="15"/>
    <x v="5"/>
    <x v="1"/>
    <x v="2"/>
    <m/>
    <x v="203"/>
    <x v="7"/>
    <x v="0"/>
  </r>
  <r>
    <x v="111"/>
    <x v="15"/>
    <x v="4"/>
    <x v="3"/>
    <x v="94"/>
    <n v="1900"/>
    <x v="0"/>
    <x v="7"/>
    <x v="0"/>
  </r>
  <r>
    <x v="111"/>
    <x v="12"/>
    <x v="5"/>
    <x v="1"/>
    <x v="2"/>
    <m/>
    <x v="20"/>
    <x v="7"/>
    <x v="0"/>
  </r>
  <r>
    <x v="111"/>
    <x v="12"/>
    <x v="39"/>
    <x v="3"/>
    <x v="26"/>
    <n v="3300"/>
    <x v="0"/>
    <x v="7"/>
    <x v="0"/>
  </r>
  <r>
    <x v="111"/>
    <x v="15"/>
    <x v="5"/>
    <x v="1"/>
    <x v="2"/>
    <m/>
    <x v="302"/>
    <x v="7"/>
    <x v="0"/>
  </r>
  <r>
    <x v="111"/>
    <x v="15"/>
    <x v="80"/>
    <x v="45"/>
    <x v="4"/>
    <n v="2760"/>
    <x v="0"/>
    <x v="7"/>
    <x v="0"/>
  </r>
  <r>
    <x v="111"/>
    <x v="15"/>
    <x v="81"/>
    <x v="45"/>
    <x v="4"/>
    <n v="2760"/>
    <x v="0"/>
    <x v="7"/>
    <x v="0"/>
  </r>
  <r>
    <x v="111"/>
    <x v="5"/>
    <x v="5"/>
    <x v="1"/>
    <x v="2"/>
    <m/>
    <x v="303"/>
    <x v="7"/>
    <x v="0"/>
  </r>
  <r>
    <x v="111"/>
    <x v="5"/>
    <x v="39"/>
    <x v="39"/>
    <x v="26"/>
    <n v="8250"/>
    <x v="0"/>
    <x v="7"/>
    <x v="0"/>
  </r>
  <r>
    <x v="111"/>
    <x v="5"/>
    <x v="7"/>
    <x v="3"/>
    <x v="4"/>
    <n v="3450"/>
    <x v="0"/>
    <x v="7"/>
    <x v="0"/>
  </r>
  <r>
    <x v="111"/>
    <x v="5"/>
    <x v="8"/>
    <x v="12"/>
    <x v="12"/>
    <n v="2700"/>
    <x v="0"/>
    <x v="7"/>
    <x v="0"/>
  </r>
  <r>
    <x v="112"/>
    <x v="2"/>
    <x v="5"/>
    <x v="1"/>
    <x v="2"/>
    <m/>
    <x v="304"/>
    <x v="7"/>
    <x v="0"/>
  </r>
  <r>
    <x v="112"/>
    <x v="2"/>
    <x v="39"/>
    <x v="3"/>
    <x v="27"/>
    <n v="3250"/>
    <x v="0"/>
    <x v="7"/>
    <x v="0"/>
  </r>
  <r>
    <x v="112"/>
    <x v="2"/>
    <x v="80"/>
    <x v="0"/>
    <x v="34"/>
    <n v="1360"/>
    <x v="0"/>
    <x v="7"/>
    <x v="0"/>
  </r>
  <r>
    <x v="112"/>
    <x v="2"/>
    <x v="82"/>
    <x v="8"/>
    <x v="133"/>
    <n v="620"/>
    <x v="0"/>
    <x v="7"/>
    <x v="0"/>
  </r>
  <r>
    <x v="113"/>
    <x v="51"/>
    <x v="5"/>
    <x v="1"/>
    <x v="2"/>
    <m/>
    <x v="305"/>
    <x v="7"/>
    <x v="0"/>
  </r>
  <r>
    <x v="113"/>
    <x v="51"/>
    <x v="91"/>
    <x v="8"/>
    <x v="132"/>
    <n v="590"/>
    <x v="0"/>
    <x v="7"/>
    <x v="0"/>
  </r>
  <r>
    <x v="113"/>
    <x v="50"/>
    <x v="5"/>
    <x v="1"/>
    <x v="2"/>
    <m/>
    <x v="306"/>
    <x v="7"/>
    <x v="0"/>
  </r>
  <r>
    <x v="113"/>
    <x v="50"/>
    <x v="91"/>
    <x v="3"/>
    <x v="132"/>
    <n v="5900"/>
    <x v="0"/>
    <x v="7"/>
    <x v="0"/>
  </r>
  <r>
    <x v="114"/>
    <x v="14"/>
    <x v="5"/>
    <x v="1"/>
    <x v="2"/>
    <m/>
    <x v="265"/>
    <x v="7"/>
    <x v="0"/>
  </r>
  <r>
    <x v="114"/>
    <x v="14"/>
    <x v="91"/>
    <x v="33"/>
    <x v="132"/>
    <n v="4130"/>
    <x v="0"/>
    <x v="7"/>
    <x v="0"/>
  </r>
  <r>
    <x v="114"/>
    <x v="11"/>
    <x v="5"/>
    <x v="1"/>
    <x v="2"/>
    <m/>
    <x v="307"/>
    <x v="7"/>
    <x v="0"/>
  </r>
  <r>
    <x v="114"/>
    <x v="11"/>
    <x v="91"/>
    <x v="9"/>
    <x v="132"/>
    <n v="1770"/>
    <x v="0"/>
    <x v="7"/>
    <x v="0"/>
  </r>
  <r>
    <x v="115"/>
    <x v="51"/>
    <x v="5"/>
    <x v="1"/>
    <x v="2"/>
    <m/>
    <x v="308"/>
    <x v="7"/>
    <x v="0"/>
  </r>
  <r>
    <x v="115"/>
    <x v="51"/>
    <x v="91"/>
    <x v="37"/>
    <x v="132"/>
    <n v="6490"/>
    <x v="0"/>
    <x v="7"/>
    <x v="0"/>
  </r>
  <r>
    <x v="116"/>
    <x v="5"/>
    <x v="5"/>
    <x v="1"/>
    <x v="2"/>
    <m/>
    <x v="309"/>
    <x v="8"/>
    <x v="0"/>
  </r>
  <r>
    <x v="116"/>
    <x v="5"/>
    <x v="39"/>
    <x v="4"/>
    <x v="26"/>
    <n v="6600"/>
    <x v="0"/>
    <x v="8"/>
    <x v="0"/>
  </r>
  <r>
    <x v="116"/>
    <x v="5"/>
    <x v="7"/>
    <x v="12"/>
    <x v="4"/>
    <n v="1725"/>
    <x v="0"/>
    <x v="8"/>
    <x v="0"/>
  </r>
  <r>
    <x v="116"/>
    <x v="5"/>
    <x v="10"/>
    <x v="12"/>
    <x v="65"/>
    <n v="2725"/>
    <x v="0"/>
    <x v="8"/>
    <x v="0"/>
  </r>
  <r>
    <x v="116"/>
    <x v="5"/>
    <x v="8"/>
    <x v="12"/>
    <x v="12"/>
    <n v="2700"/>
    <x v="0"/>
    <x v="8"/>
    <x v="0"/>
  </r>
  <r>
    <x v="116"/>
    <x v="5"/>
    <x v="80"/>
    <x v="45"/>
    <x v="4"/>
    <n v="2760"/>
    <x v="0"/>
    <x v="8"/>
    <x v="0"/>
  </r>
  <r>
    <x v="116"/>
    <x v="5"/>
    <x v="95"/>
    <x v="0"/>
    <x v="4"/>
    <n v="1380"/>
    <x v="0"/>
    <x v="8"/>
    <x v="0"/>
  </r>
  <r>
    <x v="116"/>
    <x v="5"/>
    <x v="91"/>
    <x v="3"/>
    <x v="116"/>
    <n v="6000"/>
    <x v="0"/>
    <x v="8"/>
    <x v="0"/>
  </r>
  <r>
    <x v="117"/>
    <x v="15"/>
    <x v="5"/>
    <x v="1"/>
    <x v="2"/>
    <m/>
    <x v="310"/>
    <x v="8"/>
    <x v="0"/>
  </r>
  <r>
    <x v="117"/>
    <x v="15"/>
    <x v="8"/>
    <x v="12"/>
    <x v="12"/>
    <n v="2700"/>
    <x v="0"/>
    <x v="8"/>
    <x v="0"/>
  </r>
  <r>
    <x v="117"/>
    <x v="15"/>
    <x v="91"/>
    <x v="8"/>
    <x v="116"/>
    <n v="600"/>
    <x v="0"/>
    <x v="8"/>
    <x v="0"/>
  </r>
  <r>
    <x v="117"/>
    <x v="15"/>
    <x v="39"/>
    <x v="10"/>
    <x v="26"/>
    <n v="660"/>
    <x v="0"/>
    <x v="8"/>
    <x v="0"/>
  </r>
  <r>
    <x v="117"/>
    <x v="15"/>
    <x v="8"/>
    <x v="12"/>
    <x v="12"/>
    <n v="2700"/>
    <x v="0"/>
    <x v="8"/>
    <x v="0"/>
  </r>
  <r>
    <x v="117"/>
    <x v="44"/>
    <x v="5"/>
    <x v="1"/>
    <x v="2"/>
    <m/>
    <x v="311"/>
    <x v="8"/>
    <x v="0"/>
  </r>
  <r>
    <x v="117"/>
    <x v="44"/>
    <x v="8"/>
    <x v="12"/>
    <x v="12"/>
    <n v="2700"/>
    <x v="0"/>
    <x v="8"/>
    <x v="0"/>
  </r>
  <r>
    <x v="117"/>
    <x v="44"/>
    <x v="80"/>
    <x v="0"/>
    <x v="4"/>
    <n v="1380"/>
    <x v="0"/>
    <x v="8"/>
    <x v="0"/>
  </r>
  <r>
    <x v="117"/>
    <x v="44"/>
    <x v="95"/>
    <x v="0"/>
    <x v="4"/>
    <n v="1380"/>
    <x v="0"/>
    <x v="8"/>
    <x v="0"/>
  </r>
  <r>
    <x v="117"/>
    <x v="16"/>
    <x v="5"/>
    <x v="1"/>
    <x v="2"/>
    <m/>
    <x v="307"/>
    <x v="8"/>
    <x v="0"/>
  </r>
  <r>
    <x v="117"/>
    <x v="16"/>
    <x v="91"/>
    <x v="9"/>
    <x v="132"/>
    <n v="1770"/>
    <x v="0"/>
    <x v="8"/>
    <x v="0"/>
  </r>
  <r>
    <x v="117"/>
    <x v="51"/>
    <x v="5"/>
    <x v="1"/>
    <x v="2"/>
    <m/>
    <x v="257"/>
    <x v="8"/>
    <x v="0"/>
  </r>
  <r>
    <x v="117"/>
    <x v="51"/>
    <x v="91"/>
    <x v="14"/>
    <x v="132"/>
    <n v="8850"/>
    <x v="0"/>
    <x v="8"/>
    <x v="0"/>
  </r>
  <r>
    <x v="117"/>
    <x v="1"/>
    <x v="5"/>
    <x v="1"/>
    <x v="2"/>
    <m/>
    <x v="312"/>
    <x v="8"/>
    <x v="0"/>
  </r>
  <r>
    <x v="117"/>
    <x v="1"/>
    <x v="91"/>
    <x v="16"/>
    <x v="132"/>
    <n v="17700"/>
    <x v="0"/>
    <x v="8"/>
    <x v="0"/>
  </r>
  <r>
    <x v="117"/>
    <x v="14"/>
    <x v="5"/>
    <x v="1"/>
    <x v="2"/>
    <m/>
    <x v="258"/>
    <x v="8"/>
    <x v="0"/>
  </r>
  <r>
    <x v="117"/>
    <x v="14"/>
    <x v="91"/>
    <x v="12"/>
    <x v="132"/>
    <n v="2950"/>
    <x v="0"/>
    <x v="8"/>
    <x v="0"/>
  </r>
  <r>
    <x v="117"/>
    <x v="13"/>
    <x v="5"/>
    <x v="1"/>
    <x v="2"/>
    <m/>
    <x v="306"/>
    <x v="8"/>
    <x v="0"/>
  </r>
  <r>
    <x v="117"/>
    <x v="13"/>
    <x v="91"/>
    <x v="3"/>
    <x v="132"/>
    <n v="5900"/>
    <x v="0"/>
    <x v="8"/>
    <x v="0"/>
  </r>
  <r>
    <x v="117"/>
    <x v="52"/>
    <x v="5"/>
    <x v="1"/>
    <x v="2"/>
    <m/>
    <x v="313"/>
    <x v="8"/>
    <x v="0"/>
  </r>
  <r>
    <x v="117"/>
    <x v="52"/>
    <x v="96"/>
    <x v="8"/>
    <x v="132"/>
    <n v="590"/>
    <x v="0"/>
    <x v="8"/>
    <x v="0"/>
  </r>
  <r>
    <x v="117"/>
    <x v="52"/>
    <x v="97"/>
    <x v="10"/>
    <x v="139"/>
    <n v="1320"/>
    <x v="0"/>
    <x v="8"/>
    <x v="0"/>
  </r>
  <r>
    <x v="118"/>
    <x v="1"/>
    <x v="5"/>
    <x v="1"/>
    <x v="2"/>
    <m/>
    <x v="264"/>
    <x v="8"/>
    <x v="0"/>
  </r>
  <r>
    <x v="118"/>
    <x v="1"/>
    <x v="95"/>
    <x v="0"/>
    <x v="4"/>
    <n v="1380"/>
    <x v="0"/>
    <x v="8"/>
    <x v="0"/>
  </r>
  <r>
    <x v="118"/>
    <x v="1"/>
    <x v="81"/>
    <x v="0"/>
    <x v="4"/>
    <n v="1380"/>
    <x v="0"/>
    <x v="8"/>
    <x v="0"/>
  </r>
  <r>
    <x v="119"/>
    <x v="15"/>
    <x v="5"/>
    <x v="1"/>
    <x v="2"/>
    <m/>
    <x v="74"/>
    <x v="8"/>
    <x v="0"/>
  </r>
  <r>
    <x v="119"/>
    <x v="15"/>
    <x v="39"/>
    <x v="12"/>
    <x v="26"/>
    <n v="1650"/>
    <x v="0"/>
    <x v="8"/>
    <x v="0"/>
  </r>
  <r>
    <x v="120"/>
    <x v="15"/>
    <x v="5"/>
    <x v="1"/>
    <x v="2"/>
    <m/>
    <x v="258"/>
    <x v="8"/>
    <x v="0"/>
  </r>
  <r>
    <x v="120"/>
    <x v="15"/>
    <x v="91"/>
    <x v="12"/>
    <x v="132"/>
    <n v="2950"/>
    <x v="0"/>
    <x v="8"/>
    <x v="0"/>
  </r>
  <r>
    <x v="121"/>
    <x v="0"/>
    <x v="5"/>
    <x v="1"/>
    <x v="2"/>
    <m/>
    <x v="314"/>
    <x v="8"/>
    <x v="0"/>
  </r>
  <r>
    <x v="121"/>
    <x v="0"/>
    <x v="91"/>
    <x v="2"/>
    <x v="132"/>
    <n v="7080"/>
    <x v="0"/>
    <x v="8"/>
    <x v="0"/>
  </r>
  <r>
    <x v="121"/>
    <x v="51"/>
    <x v="5"/>
    <x v="1"/>
    <x v="2"/>
    <m/>
    <x v="306"/>
    <x v="8"/>
    <x v="0"/>
  </r>
  <r>
    <x v="121"/>
    <x v="51"/>
    <x v="91"/>
    <x v="3"/>
    <x v="132"/>
    <n v="5900"/>
    <x v="0"/>
    <x v="8"/>
    <x v="0"/>
  </r>
  <r>
    <x v="121"/>
    <x v="50"/>
    <x v="5"/>
    <x v="1"/>
    <x v="2"/>
    <m/>
    <x v="306"/>
    <x v="8"/>
    <x v="0"/>
  </r>
  <r>
    <x v="121"/>
    <x v="50"/>
    <x v="12"/>
    <x v="66"/>
    <x v="2"/>
    <n v="5900"/>
    <x v="0"/>
    <x v="8"/>
    <x v="0"/>
  </r>
  <r>
    <x v="121"/>
    <x v="50"/>
    <x v="91"/>
    <x v="3"/>
    <x v="132"/>
    <n v="5900"/>
    <x v="0"/>
    <x v="8"/>
    <x v="0"/>
  </r>
  <r>
    <x v="121"/>
    <x v="14"/>
    <x v="5"/>
    <x v="1"/>
    <x v="2"/>
    <m/>
    <x v="257"/>
    <x v="8"/>
    <x v="0"/>
  </r>
  <r>
    <x v="121"/>
    <x v="14"/>
    <x v="91"/>
    <x v="14"/>
    <x v="132"/>
    <n v="8850"/>
    <x v="0"/>
    <x v="8"/>
    <x v="0"/>
  </r>
  <r>
    <x v="122"/>
    <x v="5"/>
    <x v="5"/>
    <x v="1"/>
    <x v="2"/>
    <m/>
    <x v="315"/>
    <x v="8"/>
    <x v="0"/>
  </r>
  <r>
    <x v="122"/>
    <x v="5"/>
    <x v="39"/>
    <x v="4"/>
    <x v="26"/>
    <n v="6600"/>
    <x v="0"/>
    <x v="8"/>
    <x v="0"/>
  </r>
  <r>
    <x v="122"/>
    <x v="5"/>
    <x v="49"/>
    <x v="26"/>
    <x v="43"/>
    <n v="5700"/>
    <x v="0"/>
    <x v="8"/>
    <x v="0"/>
  </r>
  <r>
    <x v="122"/>
    <x v="5"/>
    <x v="8"/>
    <x v="45"/>
    <x v="12"/>
    <n v="4320"/>
    <x v="0"/>
    <x v="8"/>
    <x v="0"/>
  </r>
  <r>
    <x v="122"/>
    <x v="5"/>
    <x v="95"/>
    <x v="0"/>
    <x v="4"/>
    <n v="1380"/>
    <x v="0"/>
    <x v="8"/>
    <x v="0"/>
  </r>
  <r>
    <x v="122"/>
    <x v="5"/>
    <x v="81"/>
    <x v="12"/>
    <x v="4"/>
    <n v="1725"/>
    <x v="0"/>
    <x v="8"/>
    <x v="0"/>
  </r>
  <r>
    <x v="122"/>
    <x v="5"/>
    <x v="91"/>
    <x v="0"/>
    <x v="134"/>
    <n v="2380"/>
    <x v="0"/>
    <x v="8"/>
    <x v="0"/>
  </r>
  <r>
    <x v="122"/>
    <x v="25"/>
    <x v="5"/>
    <x v="1"/>
    <x v="2"/>
    <m/>
    <x v="188"/>
    <x v="8"/>
    <x v="0"/>
  </r>
  <r>
    <x v="122"/>
    <x v="25"/>
    <x v="68"/>
    <x v="3"/>
    <x v="65"/>
    <n v="5450"/>
    <x v="0"/>
    <x v="8"/>
    <x v="0"/>
  </r>
  <r>
    <x v="123"/>
    <x v="48"/>
    <x v="5"/>
    <x v="1"/>
    <x v="2"/>
    <m/>
    <x v="247"/>
    <x v="8"/>
    <x v="0"/>
  </r>
  <r>
    <x v="123"/>
    <x v="48"/>
    <x v="85"/>
    <x v="11"/>
    <x v="129"/>
    <n v="3090"/>
    <x v="0"/>
    <x v="8"/>
    <x v="0"/>
  </r>
  <r>
    <x v="124"/>
    <x v="42"/>
    <x v="5"/>
    <x v="1"/>
    <x v="2"/>
    <m/>
    <x v="316"/>
    <x v="8"/>
    <x v="0"/>
  </r>
  <r>
    <x v="124"/>
    <x v="42"/>
    <x v="85"/>
    <x v="2"/>
    <x v="52"/>
    <n v="6120"/>
    <x v="0"/>
    <x v="8"/>
    <x v="0"/>
  </r>
  <r>
    <x v="124"/>
    <x v="15"/>
    <x v="5"/>
    <x v="1"/>
    <x v="2"/>
    <m/>
    <x v="317"/>
    <x v="8"/>
    <x v="0"/>
  </r>
  <r>
    <x v="124"/>
    <x v="15"/>
    <x v="68"/>
    <x v="9"/>
    <x v="65"/>
    <n v="1635"/>
    <x v="0"/>
    <x v="8"/>
    <x v="0"/>
  </r>
  <r>
    <x v="124"/>
    <x v="15"/>
    <x v="62"/>
    <x v="11"/>
    <x v="72"/>
    <n v="1665"/>
    <x v="0"/>
    <x v="8"/>
    <x v="0"/>
  </r>
  <r>
    <x v="124"/>
    <x v="15"/>
    <x v="8"/>
    <x v="55"/>
    <x v="12"/>
    <n v="7560"/>
    <x v="0"/>
    <x v="8"/>
    <x v="0"/>
  </r>
  <r>
    <x v="124"/>
    <x v="15"/>
    <x v="7"/>
    <x v="8"/>
    <x v="39"/>
    <n v="350"/>
    <x v="0"/>
    <x v="8"/>
    <x v="0"/>
  </r>
  <r>
    <x v="125"/>
    <x v="12"/>
    <x v="5"/>
    <x v="1"/>
    <x v="2"/>
    <m/>
    <x v="318"/>
    <x v="8"/>
    <x v="0"/>
  </r>
  <r>
    <x v="125"/>
    <x v="12"/>
    <x v="91"/>
    <x v="8"/>
    <x v="132"/>
    <n v="590"/>
    <x v="0"/>
    <x v="8"/>
    <x v="0"/>
  </r>
  <r>
    <x v="125"/>
    <x v="12"/>
    <x v="91"/>
    <x v="14"/>
    <x v="132"/>
    <n v="8850"/>
    <x v="0"/>
    <x v="8"/>
    <x v="0"/>
  </r>
  <r>
    <x v="126"/>
    <x v="31"/>
    <x v="5"/>
    <x v="1"/>
    <x v="2"/>
    <m/>
    <x v="319"/>
    <x v="8"/>
    <x v="0"/>
  </r>
  <r>
    <x v="126"/>
    <x v="31"/>
    <x v="68"/>
    <x v="11"/>
    <x v="97"/>
    <n v="3288"/>
    <x v="0"/>
    <x v="8"/>
    <x v="0"/>
  </r>
  <r>
    <x v="126"/>
    <x v="13"/>
    <x v="5"/>
    <x v="1"/>
    <x v="2"/>
    <m/>
    <x v="314"/>
    <x v="8"/>
    <x v="0"/>
  </r>
  <r>
    <x v="126"/>
    <x v="13"/>
    <x v="91"/>
    <x v="8"/>
    <x v="132"/>
    <n v="590"/>
    <x v="0"/>
    <x v="8"/>
    <x v="0"/>
  </r>
  <r>
    <x v="126"/>
    <x v="13"/>
    <x v="91"/>
    <x v="8"/>
    <x v="132"/>
    <n v="590"/>
    <x v="0"/>
    <x v="8"/>
    <x v="0"/>
  </r>
  <r>
    <x v="126"/>
    <x v="13"/>
    <x v="91"/>
    <x v="3"/>
    <x v="132"/>
    <n v="5900"/>
    <x v="0"/>
    <x v="8"/>
    <x v="0"/>
  </r>
  <r>
    <x v="127"/>
    <x v="29"/>
    <x v="5"/>
    <x v="1"/>
    <x v="2"/>
    <m/>
    <x v="230"/>
    <x v="8"/>
    <x v="0"/>
  </r>
  <r>
    <x v="127"/>
    <x v="29"/>
    <x v="68"/>
    <x v="11"/>
    <x v="65"/>
    <n v="3270"/>
    <x v="0"/>
    <x v="8"/>
    <x v="0"/>
  </r>
  <r>
    <x v="127"/>
    <x v="33"/>
    <x v="5"/>
    <x v="1"/>
    <x v="2"/>
    <m/>
    <x v="167"/>
    <x v="8"/>
    <x v="0"/>
  </r>
  <r>
    <x v="127"/>
    <x v="33"/>
    <x v="85"/>
    <x v="2"/>
    <x v="129"/>
    <n v="6180"/>
    <x v="0"/>
    <x v="8"/>
    <x v="0"/>
  </r>
  <r>
    <x v="127"/>
    <x v="38"/>
    <x v="5"/>
    <x v="1"/>
    <x v="2"/>
    <m/>
    <x v="295"/>
    <x v="8"/>
    <x v="0"/>
  </r>
  <r>
    <x v="127"/>
    <x v="38"/>
    <x v="91"/>
    <x v="11"/>
    <x v="132"/>
    <n v="3540"/>
    <x v="0"/>
    <x v="8"/>
    <x v="0"/>
  </r>
  <r>
    <x v="128"/>
    <x v="11"/>
    <x v="5"/>
    <x v="1"/>
    <x v="2"/>
    <m/>
    <x v="307"/>
    <x v="8"/>
    <x v="0"/>
  </r>
  <r>
    <x v="128"/>
    <x v="11"/>
    <x v="91"/>
    <x v="9"/>
    <x v="132"/>
    <n v="1770"/>
    <x v="0"/>
    <x v="8"/>
    <x v="0"/>
  </r>
  <r>
    <x v="129"/>
    <x v="15"/>
    <x v="5"/>
    <x v="1"/>
    <x v="2"/>
    <m/>
    <x v="129"/>
    <x v="8"/>
    <x v="0"/>
  </r>
  <r>
    <x v="129"/>
    <x v="15"/>
    <x v="95"/>
    <x v="0"/>
    <x v="4"/>
    <n v="1380"/>
    <x v="0"/>
    <x v="8"/>
    <x v="0"/>
  </r>
  <r>
    <x v="129"/>
    <x v="15"/>
    <x v="53"/>
    <x v="0"/>
    <x v="140"/>
    <n v="850"/>
    <x v="0"/>
    <x v="8"/>
    <x v="0"/>
  </r>
  <r>
    <x v="129"/>
    <x v="15"/>
    <x v="60"/>
    <x v="8"/>
    <x v="141"/>
    <n v="260"/>
    <x v="0"/>
    <x v="8"/>
    <x v="0"/>
  </r>
  <r>
    <x v="130"/>
    <x v="36"/>
    <x v="5"/>
    <x v="1"/>
    <x v="2"/>
    <m/>
    <x v="55"/>
    <x v="8"/>
    <x v="0"/>
  </r>
  <r>
    <x v="130"/>
    <x v="36"/>
    <x v="4"/>
    <x v="12"/>
    <x v="94"/>
    <n v="950"/>
    <x v="0"/>
    <x v="8"/>
    <x v="0"/>
  </r>
  <r>
    <x v="131"/>
    <x v="53"/>
    <x v="5"/>
    <x v="1"/>
    <x v="2"/>
    <m/>
    <x v="320"/>
    <x v="9"/>
    <x v="1"/>
  </r>
  <r>
    <x v="131"/>
    <x v="53"/>
    <x v="98"/>
    <x v="11"/>
    <x v="2"/>
    <m/>
    <x v="0"/>
    <x v="9"/>
    <x v="1"/>
  </r>
  <r>
    <x v="131"/>
    <x v="53"/>
    <x v="56"/>
    <x v="5"/>
    <x v="4"/>
    <n v="3105"/>
    <x v="0"/>
    <x v="9"/>
    <x v="1"/>
  </r>
  <r>
    <x v="131"/>
    <x v="53"/>
    <x v="22"/>
    <x v="37"/>
    <x v="14"/>
    <n v="5500"/>
    <x v="0"/>
    <x v="9"/>
    <x v="1"/>
  </r>
  <r>
    <x v="131"/>
    <x v="53"/>
    <x v="21"/>
    <x v="5"/>
    <x v="31"/>
    <n v="7020"/>
    <x v="0"/>
    <x v="9"/>
    <x v="1"/>
  </r>
  <r>
    <x v="131"/>
    <x v="53"/>
    <x v="23"/>
    <x v="10"/>
    <x v="14"/>
    <n v="1000"/>
    <x v="0"/>
    <x v="9"/>
    <x v="1"/>
  </r>
  <r>
    <x v="131"/>
    <x v="53"/>
    <x v="82"/>
    <x v="37"/>
    <x v="133"/>
    <n v="6820"/>
    <x v="0"/>
    <x v="9"/>
    <x v="1"/>
  </r>
  <r>
    <x v="131"/>
    <x v="53"/>
    <x v="93"/>
    <x v="33"/>
    <x v="135"/>
    <n v="4799.97"/>
    <x v="0"/>
    <x v="9"/>
    <x v="1"/>
  </r>
  <r>
    <x v="131"/>
    <x v="53"/>
    <x v="40"/>
    <x v="0"/>
    <x v="37"/>
    <n v="1200"/>
    <x v="0"/>
    <x v="9"/>
    <x v="1"/>
  </r>
  <r>
    <x v="131"/>
    <x v="53"/>
    <x v="7"/>
    <x v="67"/>
    <x v="39"/>
    <n v="-2100"/>
    <x v="0"/>
    <x v="9"/>
    <x v="1"/>
  </r>
  <r>
    <x v="131"/>
    <x v="53"/>
    <x v="43"/>
    <x v="10"/>
    <x v="37"/>
    <n v="600"/>
    <x v="0"/>
    <x v="9"/>
    <x v="1"/>
  </r>
  <r>
    <x v="131"/>
    <x v="53"/>
    <x v="99"/>
    <x v="10"/>
    <x v="2"/>
    <m/>
    <x v="0"/>
    <x v="9"/>
    <x v="1"/>
  </r>
  <r>
    <x v="131"/>
    <x v="53"/>
    <x v="24"/>
    <x v="68"/>
    <x v="2"/>
    <m/>
    <x v="0"/>
    <x v="9"/>
    <x v="1"/>
  </r>
  <r>
    <x v="131"/>
    <x v="15"/>
    <x v="5"/>
    <x v="1"/>
    <x v="2"/>
    <m/>
    <x v="321"/>
    <x v="9"/>
    <x v="1"/>
  </r>
  <r>
    <x v="131"/>
    <x v="15"/>
    <x v="53"/>
    <x v="10"/>
    <x v="90"/>
    <n v="400"/>
    <x v="0"/>
    <x v="9"/>
    <x v="1"/>
  </r>
  <r>
    <x v="132"/>
    <x v="15"/>
    <x v="5"/>
    <x v="1"/>
    <x v="2"/>
    <m/>
    <x v="117"/>
    <x v="9"/>
    <x v="1"/>
  </r>
  <r>
    <x v="132"/>
    <x v="15"/>
    <x v="68"/>
    <x v="11"/>
    <x v="77"/>
    <n v="3280"/>
    <x v="0"/>
    <x v="9"/>
    <x v="1"/>
  </r>
  <r>
    <x v="133"/>
    <x v="2"/>
    <x v="5"/>
    <x v="1"/>
    <x v="2"/>
    <m/>
    <x v="322"/>
    <x v="9"/>
    <x v="1"/>
  </r>
  <r>
    <x v="133"/>
    <x v="2"/>
    <x v="39"/>
    <x v="12"/>
    <x v="27"/>
    <n v="1625"/>
    <x v="0"/>
    <x v="9"/>
    <x v="1"/>
  </r>
  <r>
    <x v="133"/>
    <x v="2"/>
    <x v="57"/>
    <x v="9"/>
    <x v="16"/>
    <n v="1170"/>
    <x v="0"/>
    <x v="9"/>
    <x v="1"/>
  </r>
  <r>
    <x v="133"/>
    <x v="2"/>
    <x v="24"/>
    <x v="9"/>
    <x v="142"/>
    <n v="1296"/>
    <x v="0"/>
    <x v="9"/>
    <x v="1"/>
  </r>
  <r>
    <x v="133"/>
    <x v="2"/>
    <x v="7"/>
    <x v="12"/>
    <x v="34"/>
    <n v="1700"/>
    <x v="0"/>
    <x v="9"/>
    <x v="1"/>
  </r>
  <r>
    <x v="133"/>
    <x v="2"/>
    <x v="9"/>
    <x v="12"/>
    <x v="118"/>
    <n v="2075"/>
    <x v="0"/>
    <x v="9"/>
    <x v="1"/>
  </r>
  <r>
    <x v="134"/>
    <x v="1"/>
    <x v="5"/>
    <x v="1"/>
    <x v="2"/>
    <m/>
    <x v="323"/>
    <x v="9"/>
    <x v="1"/>
  </r>
  <r>
    <x v="134"/>
    <x v="1"/>
    <x v="39"/>
    <x v="16"/>
    <x v="26"/>
    <n v="9900"/>
    <x v="0"/>
    <x v="9"/>
    <x v="1"/>
  </r>
  <r>
    <x v="134"/>
    <x v="1"/>
    <x v="7"/>
    <x v="3"/>
    <x v="118"/>
    <n v="4150"/>
    <x v="0"/>
    <x v="9"/>
    <x v="1"/>
  </r>
  <r>
    <x v="134"/>
    <x v="1"/>
    <x v="9"/>
    <x v="3"/>
    <x v="4"/>
    <n v="3450"/>
    <x v="0"/>
    <x v="9"/>
    <x v="1"/>
  </r>
  <r>
    <x v="134"/>
    <x v="1"/>
    <x v="95"/>
    <x v="2"/>
    <x v="4"/>
    <n v="4140"/>
    <x v="0"/>
    <x v="9"/>
    <x v="1"/>
  </r>
  <r>
    <x v="134"/>
    <x v="1"/>
    <x v="81"/>
    <x v="2"/>
    <x v="4"/>
    <n v="4140"/>
    <x v="0"/>
    <x v="9"/>
    <x v="1"/>
  </r>
  <r>
    <x v="134"/>
    <x v="1"/>
    <x v="49"/>
    <x v="38"/>
    <x v="143"/>
    <n v="3700"/>
    <x v="0"/>
    <x v="9"/>
    <x v="1"/>
  </r>
  <r>
    <x v="134"/>
    <x v="13"/>
    <x v="5"/>
    <x v="1"/>
    <x v="2"/>
    <m/>
    <x v="306"/>
    <x v="9"/>
    <x v="1"/>
  </r>
  <r>
    <x v="134"/>
    <x v="13"/>
    <x v="91"/>
    <x v="3"/>
    <x v="132"/>
    <n v="5900"/>
    <x v="0"/>
    <x v="9"/>
    <x v="1"/>
  </r>
  <r>
    <x v="134"/>
    <x v="42"/>
    <x v="5"/>
    <x v="1"/>
    <x v="2"/>
    <m/>
    <x v="324"/>
    <x v="9"/>
    <x v="1"/>
  </r>
  <r>
    <x v="134"/>
    <x v="42"/>
    <x v="86"/>
    <x v="4"/>
    <x v="88"/>
    <n v="4900"/>
    <x v="0"/>
    <x v="9"/>
    <x v="1"/>
  </r>
  <r>
    <x v="134"/>
    <x v="42"/>
    <x v="85"/>
    <x v="2"/>
    <x v="52"/>
    <n v="6120"/>
    <x v="0"/>
    <x v="9"/>
    <x v="1"/>
  </r>
  <r>
    <x v="135"/>
    <x v="5"/>
    <x v="5"/>
    <x v="1"/>
    <x v="2"/>
    <m/>
    <x v="325"/>
    <x v="9"/>
    <x v="1"/>
  </r>
  <r>
    <x v="135"/>
    <x v="5"/>
    <x v="49"/>
    <x v="38"/>
    <x v="43"/>
    <n v="3800"/>
    <x v="0"/>
    <x v="9"/>
    <x v="1"/>
  </r>
  <r>
    <x v="135"/>
    <x v="5"/>
    <x v="39"/>
    <x v="4"/>
    <x v="26"/>
    <n v="6600"/>
    <x v="0"/>
    <x v="9"/>
    <x v="1"/>
  </r>
  <r>
    <x v="135"/>
    <x v="5"/>
    <x v="7"/>
    <x v="2"/>
    <x v="118"/>
    <n v="4980"/>
    <x v="0"/>
    <x v="9"/>
    <x v="1"/>
  </r>
  <r>
    <x v="135"/>
    <x v="5"/>
    <x v="9"/>
    <x v="45"/>
    <x v="4"/>
    <n v="2760"/>
    <x v="0"/>
    <x v="9"/>
    <x v="1"/>
  </r>
  <r>
    <x v="135"/>
    <x v="5"/>
    <x v="95"/>
    <x v="45"/>
    <x v="4"/>
    <n v="2760"/>
    <x v="0"/>
    <x v="9"/>
    <x v="1"/>
  </r>
  <r>
    <x v="135"/>
    <x v="5"/>
    <x v="81"/>
    <x v="45"/>
    <x v="4"/>
    <n v="2760"/>
    <x v="0"/>
    <x v="9"/>
    <x v="1"/>
  </r>
  <r>
    <x v="135"/>
    <x v="5"/>
    <x v="21"/>
    <x v="8"/>
    <x v="31"/>
    <n v="780"/>
    <x v="0"/>
    <x v="9"/>
    <x v="1"/>
  </r>
  <r>
    <x v="135"/>
    <x v="5"/>
    <x v="22"/>
    <x v="8"/>
    <x v="14"/>
    <n v="500"/>
    <x v="0"/>
    <x v="9"/>
    <x v="1"/>
  </r>
  <r>
    <x v="135"/>
    <x v="5"/>
    <x v="82"/>
    <x v="8"/>
    <x v="31"/>
    <n v="780"/>
    <x v="0"/>
    <x v="9"/>
    <x v="1"/>
  </r>
  <r>
    <x v="136"/>
    <x v="51"/>
    <x v="5"/>
    <x v="1"/>
    <x v="2"/>
    <m/>
    <x v="305"/>
    <x v="9"/>
    <x v="1"/>
  </r>
  <r>
    <x v="136"/>
    <x v="51"/>
    <x v="91"/>
    <x v="8"/>
    <x v="132"/>
    <n v="590"/>
    <x v="0"/>
    <x v="9"/>
    <x v="1"/>
  </r>
  <r>
    <x v="137"/>
    <x v="26"/>
    <x v="5"/>
    <x v="1"/>
    <x v="2"/>
    <m/>
    <x v="326"/>
    <x v="9"/>
    <x v="1"/>
  </r>
  <r>
    <x v="137"/>
    <x v="26"/>
    <x v="39"/>
    <x v="9"/>
    <x v="26"/>
    <n v="990"/>
    <x v="0"/>
    <x v="9"/>
    <x v="1"/>
  </r>
  <r>
    <x v="137"/>
    <x v="26"/>
    <x v="8"/>
    <x v="8"/>
    <x v="80"/>
    <n v="530"/>
    <x v="0"/>
    <x v="9"/>
    <x v="1"/>
  </r>
  <r>
    <x v="137"/>
    <x v="26"/>
    <x v="95"/>
    <x v="0"/>
    <x v="4"/>
    <n v="1380"/>
    <x v="0"/>
    <x v="9"/>
    <x v="1"/>
  </r>
  <r>
    <x v="137"/>
    <x v="26"/>
    <x v="81"/>
    <x v="0"/>
    <x v="4"/>
    <n v="1380"/>
    <x v="0"/>
    <x v="9"/>
    <x v="1"/>
  </r>
  <r>
    <x v="137"/>
    <x v="26"/>
    <x v="7"/>
    <x v="8"/>
    <x v="144"/>
    <n v="410"/>
    <x v="0"/>
    <x v="9"/>
    <x v="1"/>
  </r>
  <r>
    <x v="137"/>
    <x v="15"/>
    <x v="5"/>
    <x v="1"/>
    <x v="2"/>
    <m/>
    <x v="20"/>
    <x v="9"/>
    <x v="1"/>
  </r>
  <r>
    <x v="137"/>
    <x v="15"/>
    <x v="39"/>
    <x v="3"/>
    <x v="26"/>
    <n v="3300"/>
    <x v="0"/>
    <x v="9"/>
    <x v="1"/>
  </r>
  <r>
    <x v="138"/>
    <x v="1"/>
    <x v="5"/>
    <x v="1"/>
    <x v="2"/>
    <m/>
    <x v="273"/>
    <x v="9"/>
    <x v="1"/>
  </r>
  <r>
    <x v="138"/>
    <x v="1"/>
    <x v="91"/>
    <x v="8"/>
    <x v="132"/>
    <n v="590"/>
    <x v="0"/>
    <x v="9"/>
    <x v="1"/>
  </r>
  <r>
    <x v="138"/>
    <x v="1"/>
    <x v="91"/>
    <x v="9"/>
    <x v="132"/>
    <n v="1770"/>
    <x v="0"/>
    <x v="9"/>
    <x v="1"/>
  </r>
  <r>
    <x v="139"/>
    <x v="51"/>
    <x v="5"/>
    <x v="1"/>
    <x v="2"/>
    <m/>
    <x v="265"/>
    <x v="9"/>
    <x v="1"/>
  </r>
  <r>
    <x v="139"/>
    <x v="51"/>
    <x v="91"/>
    <x v="8"/>
    <x v="132"/>
    <n v="590"/>
    <x v="0"/>
    <x v="9"/>
    <x v="1"/>
  </r>
  <r>
    <x v="139"/>
    <x v="51"/>
    <x v="91"/>
    <x v="11"/>
    <x v="132"/>
    <n v="3540"/>
    <x v="0"/>
    <x v="9"/>
    <x v="1"/>
  </r>
  <r>
    <x v="140"/>
    <x v="44"/>
    <x v="5"/>
    <x v="1"/>
    <x v="2"/>
    <m/>
    <x v="137"/>
    <x v="9"/>
    <x v="1"/>
  </r>
  <r>
    <x v="140"/>
    <x v="44"/>
    <x v="81"/>
    <x v="0"/>
    <x v="4"/>
    <n v="1380"/>
    <x v="0"/>
    <x v="9"/>
    <x v="1"/>
  </r>
  <r>
    <x v="140"/>
    <x v="44"/>
    <x v="39"/>
    <x v="12"/>
    <x v="26"/>
    <n v="1650"/>
    <x v="0"/>
    <x v="9"/>
    <x v="1"/>
  </r>
  <r>
    <x v="140"/>
    <x v="1"/>
    <x v="5"/>
    <x v="1"/>
    <x v="2"/>
    <m/>
    <x v="327"/>
    <x v="9"/>
    <x v="1"/>
  </r>
  <r>
    <x v="140"/>
    <x v="1"/>
    <x v="91"/>
    <x v="69"/>
    <x v="132"/>
    <n v="15340"/>
    <x v="0"/>
    <x v="9"/>
    <x v="1"/>
  </r>
  <r>
    <x v="140"/>
    <x v="21"/>
    <x v="5"/>
    <x v="1"/>
    <x v="2"/>
    <m/>
    <x v="328"/>
    <x v="9"/>
    <x v="1"/>
  </r>
  <r>
    <x v="140"/>
    <x v="21"/>
    <x v="95"/>
    <x v="0"/>
    <x v="4"/>
    <n v="1380"/>
    <x v="0"/>
    <x v="9"/>
    <x v="1"/>
  </r>
  <r>
    <x v="140"/>
    <x v="21"/>
    <x v="39"/>
    <x v="3"/>
    <x v="26"/>
    <n v="3300"/>
    <x v="0"/>
    <x v="9"/>
    <x v="1"/>
  </r>
  <r>
    <x v="141"/>
    <x v="12"/>
    <x v="5"/>
    <x v="1"/>
    <x v="2"/>
    <m/>
    <x v="275"/>
    <x v="9"/>
    <x v="1"/>
  </r>
  <r>
    <x v="141"/>
    <x v="12"/>
    <x v="91"/>
    <x v="10"/>
    <x v="132"/>
    <n v="1180"/>
    <x v="0"/>
    <x v="9"/>
    <x v="1"/>
  </r>
  <r>
    <x v="142"/>
    <x v="16"/>
    <x v="5"/>
    <x v="1"/>
    <x v="2"/>
    <m/>
    <x v="275"/>
    <x v="9"/>
    <x v="1"/>
  </r>
  <r>
    <x v="142"/>
    <x v="16"/>
    <x v="91"/>
    <x v="10"/>
    <x v="132"/>
    <n v="1180"/>
    <x v="0"/>
    <x v="9"/>
    <x v="1"/>
  </r>
  <r>
    <x v="142"/>
    <x v="14"/>
    <x v="5"/>
    <x v="1"/>
    <x v="2"/>
    <m/>
    <x v="273"/>
    <x v="9"/>
    <x v="1"/>
  </r>
  <r>
    <x v="142"/>
    <x v="14"/>
    <x v="91"/>
    <x v="0"/>
    <x v="132"/>
    <n v="2360"/>
    <x v="0"/>
    <x v="9"/>
    <x v="1"/>
  </r>
  <r>
    <x v="142"/>
    <x v="51"/>
    <x v="5"/>
    <x v="1"/>
    <x v="2"/>
    <m/>
    <x v="329"/>
    <x v="9"/>
    <x v="1"/>
  </r>
  <r>
    <x v="142"/>
    <x v="51"/>
    <x v="91"/>
    <x v="4"/>
    <x v="132"/>
    <n v="11800"/>
    <x v="0"/>
    <x v="9"/>
    <x v="1"/>
  </r>
  <r>
    <x v="142"/>
    <x v="0"/>
    <x v="5"/>
    <x v="1"/>
    <x v="2"/>
    <m/>
    <x v="330"/>
    <x v="9"/>
    <x v="1"/>
  </r>
  <r>
    <x v="142"/>
    <x v="0"/>
    <x v="12"/>
    <x v="70"/>
    <x v="2"/>
    <n v="7670"/>
    <x v="0"/>
    <x v="9"/>
    <x v="1"/>
  </r>
  <r>
    <x v="142"/>
    <x v="0"/>
    <x v="91"/>
    <x v="31"/>
    <x v="132"/>
    <n v="7670"/>
    <x v="0"/>
    <x v="9"/>
    <x v="1"/>
  </r>
  <r>
    <x v="142"/>
    <x v="38"/>
    <x v="5"/>
    <x v="1"/>
    <x v="2"/>
    <m/>
    <x v="258"/>
    <x v="9"/>
    <x v="1"/>
  </r>
  <r>
    <x v="142"/>
    <x v="38"/>
    <x v="91"/>
    <x v="12"/>
    <x v="132"/>
    <n v="2950"/>
    <x v="0"/>
    <x v="9"/>
    <x v="1"/>
  </r>
  <r>
    <x v="142"/>
    <x v="11"/>
    <x v="5"/>
    <x v="1"/>
    <x v="2"/>
    <m/>
    <x v="307"/>
    <x v="9"/>
    <x v="1"/>
  </r>
  <r>
    <x v="142"/>
    <x v="11"/>
    <x v="91"/>
    <x v="9"/>
    <x v="132"/>
    <n v="1770"/>
    <x v="0"/>
    <x v="9"/>
    <x v="1"/>
  </r>
  <r>
    <x v="142"/>
    <x v="1"/>
    <x v="5"/>
    <x v="1"/>
    <x v="2"/>
    <m/>
    <x v="331"/>
    <x v="9"/>
    <x v="1"/>
  </r>
  <r>
    <x v="142"/>
    <x v="1"/>
    <x v="91"/>
    <x v="71"/>
    <x v="132"/>
    <n v="13570"/>
    <x v="0"/>
    <x v="9"/>
    <x v="1"/>
  </r>
  <r>
    <x v="142"/>
    <x v="15"/>
    <x v="5"/>
    <x v="1"/>
    <x v="2"/>
    <m/>
    <x v="188"/>
    <x v="9"/>
    <x v="1"/>
  </r>
  <r>
    <x v="142"/>
    <x v="15"/>
    <x v="68"/>
    <x v="3"/>
    <x v="65"/>
    <n v="5450"/>
    <x v="0"/>
    <x v="9"/>
    <x v="1"/>
  </r>
  <r>
    <x v="143"/>
    <x v="5"/>
    <x v="5"/>
    <x v="1"/>
    <x v="2"/>
    <m/>
    <x v="332"/>
    <x v="9"/>
    <x v="1"/>
  </r>
  <r>
    <x v="143"/>
    <x v="5"/>
    <x v="49"/>
    <x v="26"/>
    <x v="43"/>
    <n v="5700"/>
    <x v="0"/>
    <x v="9"/>
    <x v="1"/>
  </r>
  <r>
    <x v="143"/>
    <x v="5"/>
    <x v="95"/>
    <x v="0"/>
    <x v="4"/>
    <n v="1380"/>
    <x v="0"/>
    <x v="9"/>
    <x v="1"/>
  </r>
  <r>
    <x v="143"/>
    <x v="5"/>
    <x v="81"/>
    <x v="0"/>
    <x v="4"/>
    <n v="1380"/>
    <x v="0"/>
    <x v="9"/>
    <x v="1"/>
  </r>
  <r>
    <x v="143"/>
    <x v="5"/>
    <x v="7"/>
    <x v="12"/>
    <x v="118"/>
    <n v="2075"/>
    <x v="0"/>
    <x v="9"/>
    <x v="1"/>
  </r>
  <r>
    <x v="143"/>
    <x v="5"/>
    <x v="91"/>
    <x v="45"/>
    <x v="132"/>
    <n v="4720"/>
    <x v="0"/>
    <x v="9"/>
    <x v="1"/>
  </r>
  <r>
    <x v="143"/>
    <x v="5"/>
    <x v="24"/>
    <x v="3"/>
    <x v="15"/>
    <n v="4800"/>
    <x v="0"/>
    <x v="9"/>
    <x v="1"/>
  </r>
  <r>
    <x v="143"/>
    <x v="5"/>
    <x v="39"/>
    <x v="4"/>
    <x v="26"/>
    <n v="6600"/>
    <x v="0"/>
    <x v="9"/>
    <x v="1"/>
  </r>
  <r>
    <x v="144"/>
    <x v="15"/>
    <x v="5"/>
    <x v="1"/>
    <x v="2"/>
    <m/>
    <x v="333"/>
    <x v="9"/>
    <x v="1"/>
  </r>
  <r>
    <x v="144"/>
    <x v="15"/>
    <x v="95"/>
    <x v="0"/>
    <x v="4"/>
    <n v="1380"/>
    <x v="0"/>
    <x v="9"/>
    <x v="1"/>
  </r>
  <r>
    <x v="144"/>
    <x v="15"/>
    <x v="80"/>
    <x v="0"/>
    <x v="4"/>
    <n v="1380"/>
    <x v="0"/>
    <x v="9"/>
    <x v="1"/>
  </r>
  <r>
    <x v="144"/>
    <x v="15"/>
    <x v="4"/>
    <x v="0"/>
    <x v="24"/>
    <n v="740"/>
    <x v="0"/>
    <x v="9"/>
    <x v="1"/>
  </r>
  <r>
    <x v="145"/>
    <x v="41"/>
    <x v="5"/>
    <x v="1"/>
    <x v="2"/>
    <m/>
    <x v="334"/>
    <x v="10"/>
    <x v="1"/>
  </r>
  <r>
    <x v="145"/>
    <x v="41"/>
    <x v="62"/>
    <x v="0"/>
    <x v="72"/>
    <n v="1110"/>
    <x v="0"/>
    <x v="10"/>
    <x v="1"/>
  </r>
  <r>
    <x v="145"/>
    <x v="41"/>
    <x v="78"/>
    <x v="12"/>
    <x v="145"/>
    <n v="587"/>
    <x v="0"/>
    <x v="10"/>
    <x v="1"/>
  </r>
  <r>
    <x v="145"/>
    <x v="15"/>
    <x v="5"/>
    <x v="1"/>
    <x v="2"/>
    <m/>
    <x v="335"/>
    <x v="10"/>
    <x v="1"/>
  </r>
  <r>
    <x v="145"/>
    <x v="15"/>
    <x v="62"/>
    <x v="3"/>
    <x v="146"/>
    <n v="2770"/>
    <x v="0"/>
    <x v="10"/>
    <x v="1"/>
  </r>
  <r>
    <x v="145"/>
    <x v="15"/>
    <x v="6"/>
    <x v="10"/>
    <x v="118"/>
    <n v="830"/>
    <x v="0"/>
    <x v="10"/>
    <x v="1"/>
  </r>
  <r>
    <x v="145"/>
    <x v="54"/>
    <x v="5"/>
    <x v="1"/>
    <x v="2"/>
    <m/>
    <x v="336"/>
    <x v="10"/>
    <x v="1"/>
  </r>
  <r>
    <x v="145"/>
    <x v="54"/>
    <x v="85"/>
    <x v="11"/>
    <x v="129"/>
    <n v="3090"/>
    <x v="0"/>
    <x v="10"/>
    <x v="1"/>
  </r>
  <r>
    <x v="145"/>
    <x v="54"/>
    <x v="62"/>
    <x v="11"/>
    <x v="72"/>
    <n v="1665"/>
    <x v="0"/>
    <x v="10"/>
    <x v="1"/>
  </r>
  <r>
    <x v="145"/>
    <x v="54"/>
    <x v="78"/>
    <x v="3"/>
    <x v="147"/>
    <n v="1173"/>
    <x v="0"/>
    <x v="10"/>
    <x v="1"/>
  </r>
  <r>
    <x v="146"/>
    <x v="11"/>
    <x v="5"/>
    <x v="1"/>
    <x v="2"/>
    <m/>
    <x v="337"/>
    <x v="10"/>
    <x v="1"/>
  </r>
  <r>
    <x v="146"/>
    <x v="11"/>
    <x v="39"/>
    <x v="16"/>
    <x v="26"/>
    <n v="9900"/>
    <x v="0"/>
    <x v="10"/>
    <x v="1"/>
  </r>
  <r>
    <x v="146"/>
    <x v="11"/>
    <x v="81"/>
    <x v="0"/>
    <x v="4"/>
    <n v="1380"/>
    <x v="0"/>
    <x v="10"/>
    <x v="1"/>
  </r>
  <r>
    <x v="146"/>
    <x v="12"/>
    <x v="5"/>
    <x v="1"/>
    <x v="2"/>
    <m/>
    <x v="308"/>
    <x v="10"/>
    <x v="1"/>
  </r>
  <r>
    <x v="146"/>
    <x v="12"/>
    <x v="91"/>
    <x v="37"/>
    <x v="132"/>
    <n v="6490"/>
    <x v="0"/>
    <x v="10"/>
    <x v="1"/>
  </r>
  <r>
    <x v="146"/>
    <x v="55"/>
    <x v="5"/>
    <x v="1"/>
    <x v="2"/>
    <m/>
    <x v="18"/>
    <x v="10"/>
    <x v="1"/>
  </r>
  <r>
    <x v="146"/>
    <x v="55"/>
    <x v="8"/>
    <x v="4"/>
    <x v="30"/>
    <n v="10700"/>
    <x v="0"/>
    <x v="10"/>
    <x v="1"/>
  </r>
  <r>
    <x v="146"/>
    <x v="5"/>
    <x v="5"/>
    <x v="1"/>
    <x v="2"/>
    <m/>
    <x v="338"/>
    <x v="10"/>
    <x v="1"/>
  </r>
  <r>
    <x v="146"/>
    <x v="5"/>
    <x v="8"/>
    <x v="14"/>
    <x v="30"/>
    <n v="8025"/>
    <x v="0"/>
    <x v="10"/>
    <x v="1"/>
  </r>
  <r>
    <x v="146"/>
    <x v="5"/>
    <x v="10"/>
    <x v="10"/>
    <x v="12"/>
    <n v="1080"/>
    <x v="0"/>
    <x v="10"/>
    <x v="1"/>
  </r>
  <r>
    <x v="146"/>
    <x v="5"/>
    <x v="30"/>
    <x v="10"/>
    <x v="12"/>
    <n v="1080"/>
    <x v="0"/>
    <x v="10"/>
    <x v="1"/>
  </r>
  <r>
    <x v="146"/>
    <x v="5"/>
    <x v="73"/>
    <x v="8"/>
    <x v="12"/>
    <n v="540"/>
    <x v="0"/>
    <x v="10"/>
    <x v="1"/>
  </r>
  <r>
    <x v="146"/>
    <x v="25"/>
    <x v="5"/>
    <x v="1"/>
    <x v="2"/>
    <m/>
    <x v="230"/>
    <x v="10"/>
    <x v="1"/>
  </r>
  <r>
    <x v="146"/>
    <x v="25"/>
    <x v="68"/>
    <x v="11"/>
    <x v="65"/>
    <n v="3270"/>
    <x v="0"/>
    <x v="10"/>
    <x v="1"/>
  </r>
  <r>
    <x v="147"/>
    <x v="32"/>
    <x v="5"/>
    <x v="1"/>
    <x v="2"/>
    <m/>
    <x v="339"/>
    <x v="10"/>
    <x v="1"/>
  </r>
  <r>
    <x v="147"/>
    <x v="32"/>
    <x v="62"/>
    <x v="11"/>
    <x v="59"/>
    <n v="1668"/>
    <x v="0"/>
    <x v="10"/>
    <x v="1"/>
  </r>
  <r>
    <x v="147"/>
    <x v="32"/>
    <x v="78"/>
    <x v="14"/>
    <x v="130"/>
    <n v="1770"/>
    <x v="0"/>
    <x v="10"/>
    <x v="1"/>
  </r>
  <r>
    <x v="147"/>
    <x v="0"/>
    <x v="5"/>
    <x v="1"/>
    <x v="2"/>
    <m/>
    <x v="340"/>
    <x v="10"/>
    <x v="1"/>
  </r>
  <r>
    <x v="147"/>
    <x v="0"/>
    <x v="68"/>
    <x v="3"/>
    <x v="65"/>
    <n v="5450"/>
    <x v="0"/>
    <x v="10"/>
    <x v="1"/>
  </r>
  <r>
    <x v="147"/>
    <x v="0"/>
    <x v="62"/>
    <x v="4"/>
    <x v="59"/>
    <n v="5560"/>
    <x v="0"/>
    <x v="10"/>
    <x v="1"/>
  </r>
  <r>
    <x v="147"/>
    <x v="0"/>
    <x v="78"/>
    <x v="4"/>
    <x v="130"/>
    <n v="2360"/>
    <x v="0"/>
    <x v="10"/>
    <x v="1"/>
  </r>
  <r>
    <x v="147"/>
    <x v="31"/>
    <x v="5"/>
    <x v="1"/>
    <x v="2"/>
    <m/>
    <x v="341"/>
    <x v="10"/>
    <x v="1"/>
  </r>
  <r>
    <x v="147"/>
    <x v="31"/>
    <x v="68"/>
    <x v="11"/>
    <x v="65"/>
    <n v="3270"/>
    <x v="0"/>
    <x v="10"/>
    <x v="1"/>
  </r>
  <r>
    <x v="147"/>
    <x v="31"/>
    <x v="62"/>
    <x v="3"/>
    <x v="59"/>
    <n v="2780"/>
    <x v="0"/>
    <x v="10"/>
    <x v="1"/>
  </r>
  <r>
    <x v="147"/>
    <x v="4"/>
    <x v="5"/>
    <x v="1"/>
    <x v="2"/>
    <m/>
    <x v="163"/>
    <x v="10"/>
    <x v="1"/>
  </r>
  <r>
    <x v="147"/>
    <x v="4"/>
    <x v="8"/>
    <x v="8"/>
    <x v="11"/>
    <n v="550"/>
    <x v="0"/>
    <x v="10"/>
    <x v="1"/>
  </r>
  <r>
    <x v="147"/>
    <x v="4"/>
    <x v="49"/>
    <x v="35"/>
    <x v="44"/>
    <n v="390"/>
    <x v="0"/>
    <x v="10"/>
    <x v="1"/>
  </r>
  <r>
    <x v="147"/>
    <x v="4"/>
    <x v="5"/>
    <x v="1"/>
    <x v="2"/>
    <m/>
    <x v="342"/>
    <x v="10"/>
    <x v="1"/>
  </r>
  <r>
    <x v="147"/>
    <x v="4"/>
    <x v="30"/>
    <x v="8"/>
    <x v="11"/>
    <n v="550"/>
    <x v="0"/>
    <x v="10"/>
    <x v="1"/>
  </r>
  <r>
    <x v="147"/>
    <x v="4"/>
    <x v="100"/>
    <x v="11"/>
    <x v="148"/>
    <n v="570"/>
    <x v="0"/>
    <x v="10"/>
    <x v="1"/>
  </r>
  <r>
    <x v="147"/>
    <x v="4"/>
    <x v="101"/>
    <x v="11"/>
    <x v="148"/>
    <n v="570"/>
    <x v="0"/>
    <x v="10"/>
    <x v="1"/>
  </r>
  <r>
    <x v="147"/>
    <x v="4"/>
    <x v="19"/>
    <x v="8"/>
    <x v="8"/>
    <n v="750"/>
    <x v="0"/>
    <x v="10"/>
    <x v="1"/>
  </r>
  <r>
    <x v="147"/>
    <x v="4"/>
    <x v="5"/>
    <x v="1"/>
    <x v="2"/>
    <m/>
    <x v="343"/>
    <x v="10"/>
    <x v="1"/>
  </r>
  <r>
    <x v="147"/>
    <x v="4"/>
    <x v="39"/>
    <x v="8"/>
    <x v="6"/>
    <n v="335"/>
    <x v="0"/>
    <x v="10"/>
    <x v="1"/>
  </r>
  <r>
    <x v="147"/>
    <x v="4"/>
    <x v="23"/>
    <x v="8"/>
    <x v="32"/>
    <n v="520"/>
    <x v="0"/>
    <x v="10"/>
    <x v="1"/>
  </r>
  <r>
    <x v="147"/>
    <x v="4"/>
    <x v="7"/>
    <x v="8"/>
    <x v="118"/>
    <n v="415"/>
    <x v="0"/>
    <x v="10"/>
    <x v="1"/>
  </r>
  <r>
    <x v="147"/>
    <x v="4"/>
    <x v="4"/>
    <x v="8"/>
    <x v="94"/>
    <n v="190"/>
    <x v="0"/>
    <x v="10"/>
    <x v="1"/>
  </r>
  <r>
    <x v="147"/>
    <x v="4"/>
    <x v="5"/>
    <x v="1"/>
    <x v="2"/>
    <m/>
    <x v="344"/>
    <x v="10"/>
    <x v="1"/>
  </r>
  <r>
    <x v="147"/>
    <x v="4"/>
    <x v="39"/>
    <x v="3"/>
    <x v="26"/>
    <n v="3300"/>
    <x v="0"/>
    <x v="10"/>
    <x v="1"/>
  </r>
  <r>
    <x v="147"/>
    <x v="4"/>
    <x v="95"/>
    <x v="0"/>
    <x v="39"/>
    <n v="1400"/>
    <x v="0"/>
    <x v="10"/>
    <x v="1"/>
  </r>
  <r>
    <x v="147"/>
    <x v="4"/>
    <x v="8"/>
    <x v="12"/>
    <x v="30"/>
    <n v="2675"/>
    <x v="0"/>
    <x v="10"/>
    <x v="1"/>
  </r>
  <r>
    <x v="147"/>
    <x v="4"/>
    <x v="10"/>
    <x v="12"/>
    <x v="12"/>
    <n v="2700"/>
    <x v="0"/>
    <x v="10"/>
    <x v="1"/>
  </r>
  <r>
    <x v="147"/>
    <x v="4"/>
    <x v="73"/>
    <x v="9"/>
    <x v="12"/>
    <n v="1620"/>
    <x v="0"/>
    <x v="10"/>
    <x v="1"/>
  </r>
  <r>
    <x v="147"/>
    <x v="4"/>
    <x v="30"/>
    <x v="10"/>
    <x v="12"/>
    <n v="1080"/>
    <x v="0"/>
    <x v="10"/>
    <x v="1"/>
  </r>
  <r>
    <x v="147"/>
    <x v="4"/>
    <x v="24"/>
    <x v="8"/>
    <x v="149"/>
    <n v="470"/>
    <x v="0"/>
    <x v="10"/>
    <x v="1"/>
  </r>
  <r>
    <x v="147"/>
    <x v="4"/>
    <x v="57"/>
    <x v="8"/>
    <x v="46"/>
    <n v="400"/>
    <x v="0"/>
    <x v="10"/>
    <x v="1"/>
  </r>
  <r>
    <x v="147"/>
    <x v="4"/>
    <x v="22"/>
    <x v="10"/>
    <x v="32"/>
    <n v="1040"/>
    <x v="0"/>
    <x v="10"/>
    <x v="1"/>
  </r>
  <r>
    <x v="147"/>
    <x v="4"/>
    <x v="21"/>
    <x v="10"/>
    <x v="31"/>
    <n v="1560"/>
    <x v="0"/>
    <x v="10"/>
    <x v="1"/>
  </r>
  <r>
    <x v="147"/>
    <x v="4"/>
    <x v="102"/>
    <x v="1"/>
    <x v="2"/>
    <m/>
    <x v="0"/>
    <x v="10"/>
    <x v="1"/>
  </r>
  <r>
    <x v="147"/>
    <x v="4"/>
    <x v="5"/>
    <x v="1"/>
    <x v="2"/>
    <m/>
    <x v="264"/>
    <x v="10"/>
    <x v="1"/>
  </r>
  <r>
    <x v="147"/>
    <x v="4"/>
    <x v="23"/>
    <x v="8"/>
    <x v="52"/>
    <n v="510"/>
    <x v="0"/>
    <x v="10"/>
    <x v="1"/>
  </r>
  <r>
    <x v="147"/>
    <x v="4"/>
    <x v="26"/>
    <x v="10"/>
    <x v="12"/>
    <n v="1080"/>
    <x v="0"/>
    <x v="10"/>
    <x v="1"/>
  </r>
  <r>
    <x v="147"/>
    <x v="4"/>
    <x v="100"/>
    <x v="11"/>
    <x v="148"/>
    <n v="570"/>
    <x v="0"/>
    <x v="10"/>
    <x v="1"/>
  </r>
  <r>
    <x v="147"/>
    <x v="4"/>
    <x v="91"/>
    <x v="8"/>
    <x v="116"/>
    <n v="600"/>
    <x v="0"/>
    <x v="10"/>
    <x v="1"/>
  </r>
  <r>
    <x v="147"/>
    <x v="4"/>
    <x v="103"/>
    <x v="1"/>
    <x v="2"/>
    <m/>
    <x v="0"/>
    <x v="10"/>
    <x v="1"/>
  </r>
  <r>
    <x v="147"/>
    <x v="4"/>
    <x v="5"/>
    <x v="1"/>
    <x v="2"/>
    <m/>
    <x v="345"/>
    <x v="10"/>
    <x v="1"/>
  </r>
  <r>
    <x v="147"/>
    <x v="4"/>
    <x v="8"/>
    <x v="12"/>
    <x v="65"/>
    <n v="2725"/>
    <x v="0"/>
    <x v="10"/>
    <x v="1"/>
  </r>
  <r>
    <x v="147"/>
    <x v="4"/>
    <x v="5"/>
    <x v="1"/>
    <x v="2"/>
    <m/>
    <x v="346"/>
    <x v="10"/>
    <x v="1"/>
  </r>
  <r>
    <x v="147"/>
    <x v="4"/>
    <x v="39"/>
    <x v="10"/>
    <x v="6"/>
    <n v="670"/>
    <x v="0"/>
    <x v="10"/>
    <x v="1"/>
  </r>
  <r>
    <x v="147"/>
    <x v="4"/>
    <x v="91"/>
    <x v="10"/>
    <x v="116"/>
    <n v="1200"/>
    <x v="0"/>
    <x v="10"/>
    <x v="1"/>
  </r>
  <r>
    <x v="147"/>
    <x v="4"/>
    <x v="101"/>
    <x v="11"/>
    <x v="148"/>
    <n v="570"/>
    <x v="0"/>
    <x v="10"/>
    <x v="1"/>
  </r>
  <r>
    <x v="147"/>
    <x v="4"/>
    <x v="8"/>
    <x v="10"/>
    <x v="30"/>
    <n v="1070"/>
    <x v="0"/>
    <x v="10"/>
    <x v="1"/>
  </r>
  <r>
    <x v="147"/>
    <x v="4"/>
    <x v="8"/>
    <x v="8"/>
    <x v="11"/>
    <n v="550"/>
    <x v="0"/>
    <x v="10"/>
    <x v="1"/>
  </r>
  <r>
    <x v="147"/>
    <x v="4"/>
    <x v="9"/>
    <x v="8"/>
    <x v="39"/>
    <n v="350"/>
    <x v="0"/>
    <x v="10"/>
    <x v="1"/>
  </r>
  <r>
    <x v="147"/>
    <x v="4"/>
    <x v="7"/>
    <x v="8"/>
    <x v="118"/>
    <n v="415"/>
    <x v="0"/>
    <x v="10"/>
    <x v="1"/>
  </r>
  <r>
    <x v="148"/>
    <x v="21"/>
    <x v="5"/>
    <x v="1"/>
    <x v="2"/>
    <m/>
    <x v="347"/>
    <x v="10"/>
    <x v="1"/>
  </r>
  <r>
    <x v="148"/>
    <x v="21"/>
    <x v="8"/>
    <x v="3"/>
    <x v="30"/>
    <n v="5350"/>
    <x v="0"/>
    <x v="10"/>
    <x v="1"/>
  </r>
  <r>
    <x v="148"/>
    <x v="21"/>
    <x v="4"/>
    <x v="3"/>
    <x v="94"/>
    <n v="1900"/>
    <x v="0"/>
    <x v="10"/>
    <x v="1"/>
  </r>
  <r>
    <x v="148"/>
    <x v="15"/>
    <x v="5"/>
    <x v="1"/>
    <x v="2"/>
    <m/>
    <x v="203"/>
    <x v="10"/>
    <x v="1"/>
  </r>
  <r>
    <x v="148"/>
    <x v="15"/>
    <x v="4"/>
    <x v="3"/>
    <x v="94"/>
    <n v="1900"/>
    <x v="0"/>
    <x v="10"/>
    <x v="1"/>
  </r>
  <r>
    <x v="148"/>
    <x v="38"/>
    <x v="5"/>
    <x v="1"/>
    <x v="2"/>
    <m/>
    <x v="295"/>
    <x v="10"/>
    <x v="1"/>
  </r>
  <r>
    <x v="148"/>
    <x v="38"/>
    <x v="91"/>
    <x v="11"/>
    <x v="132"/>
    <n v="3540"/>
    <x v="0"/>
    <x v="10"/>
    <x v="1"/>
  </r>
  <r>
    <x v="148"/>
    <x v="15"/>
    <x v="5"/>
    <x v="1"/>
    <x v="2"/>
    <m/>
    <x v="38"/>
    <x v="10"/>
    <x v="1"/>
  </r>
  <r>
    <x v="148"/>
    <x v="15"/>
    <x v="8"/>
    <x v="10"/>
    <x v="12"/>
    <n v="1080"/>
    <x v="0"/>
    <x v="10"/>
    <x v="1"/>
  </r>
  <r>
    <x v="148"/>
    <x v="36"/>
    <x v="5"/>
    <x v="1"/>
    <x v="2"/>
    <m/>
    <x v="146"/>
    <x v="10"/>
    <x v="1"/>
  </r>
  <r>
    <x v="148"/>
    <x v="36"/>
    <x v="4"/>
    <x v="3"/>
    <x v="94"/>
    <n v="1900"/>
    <x v="0"/>
    <x v="10"/>
    <x v="1"/>
  </r>
  <r>
    <x v="148"/>
    <x v="36"/>
    <x v="30"/>
    <x v="10"/>
    <x v="11"/>
    <n v="1100"/>
    <x v="0"/>
    <x v="10"/>
    <x v="1"/>
  </r>
  <r>
    <x v="148"/>
    <x v="1"/>
    <x v="5"/>
    <x v="1"/>
    <x v="2"/>
    <m/>
    <x v="348"/>
    <x v="10"/>
    <x v="1"/>
  </r>
  <r>
    <x v="148"/>
    <x v="1"/>
    <x v="8"/>
    <x v="3"/>
    <x v="80"/>
    <n v="5300"/>
    <x v="0"/>
    <x v="10"/>
    <x v="1"/>
  </r>
  <r>
    <x v="148"/>
    <x v="1"/>
    <x v="9"/>
    <x v="3"/>
    <x v="4"/>
    <n v="3450"/>
    <x v="0"/>
    <x v="10"/>
    <x v="1"/>
  </r>
  <r>
    <x v="148"/>
    <x v="1"/>
    <x v="7"/>
    <x v="33"/>
    <x v="118"/>
    <n v="2905"/>
    <x v="0"/>
    <x v="10"/>
    <x v="1"/>
  </r>
  <r>
    <x v="148"/>
    <x v="1"/>
    <x v="24"/>
    <x v="12"/>
    <x v="115"/>
    <n v="2850"/>
    <x v="0"/>
    <x v="10"/>
    <x v="1"/>
  </r>
  <r>
    <x v="148"/>
    <x v="1"/>
    <x v="91"/>
    <x v="14"/>
    <x v="132"/>
    <n v="8850"/>
    <x v="0"/>
    <x v="10"/>
    <x v="1"/>
  </r>
  <r>
    <x v="149"/>
    <x v="4"/>
    <x v="5"/>
    <x v="1"/>
    <x v="2"/>
    <m/>
    <x v="313"/>
    <x v="10"/>
    <x v="1"/>
  </r>
  <r>
    <x v="149"/>
    <x v="4"/>
    <x v="9"/>
    <x v="10"/>
    <x v="39"/>
    <n v="700"/>
    <x v="0"/>
    <x v="10"/>
    <x v="1"/>
  </r>
  <r>
    <x v="149"/>
    <x v="4"/>
    <x v="39"/>
    <x v="10"/>
    <x v="26"/>
    <n v="660"/>
    <x v="0"/>
    <x v="10"/>
    <x v="1"/>
  </r>
  <r>
    <x v="149"/>
    <x v="4"/>
    <x v="8"/>
    <x v="8"/>
    <x v="11"/>
    <n v="550"/>
    <x v="0"/>
    <x v="10"/>
    <x v="1"/>
  </r>
  <r>
    <x v="149"/>
    <x v="4"/>
    <x v="5"/>
    <x v="1"/>
    <x v="2"/>
    <m/>
    <x v="286"/>
    <x v="10"/>
    <x v="1"/>
  </r>
  <r>
    <x v="149"/>
    <x v="4"/>
    <x v="10"/>
    <x v="8"/>
    <x v="65"/>
    <n v="545"/>
    <x v="0"/>
    <x v="10"/>
    <x v="1"/>
  </r>
  <r>
    <x v="149"/>
    <x v="4"/>
    <x v="73"/>
    <x v="8"/>
    <x v="65"/>
    <n v="545"/>
    <x v="0"/>
    <x v="10"/>
    <x v="1"/>
  </r>
  <r>
    <x v="149"/>
    <x v="4"/>
    <x v="4"/>
    <x v="8"/>
    <x v="94"/>
    <n v="190"/>
    <x v="0"/>
    <x v="10"/>
    <x v="1"/>
  </r>
  <r>
    <x v="149"/>
    <x v="4"/>
    <x v="5"/>
    <x v="1"/>
    <x v="2"/>
    <m/>
    <x v="349"/>
    <x v="10"/>
    <x v="1"/>
  </r>
  <r>
    <x v="149"/>
    <x v="4"/>
    <x v="8"/>
    <x v="8"/>
    <x v="11"/>
    <n v="550"/>
    <x v="0"/>
    <x v="10"/>
    <x v="1"/>
  </r>
  <r>
    <x v="149"/>
    <x v="4"/>
    <x v="9"/>
    <x v="8"/>
    <x v="39"/>
    <n v="350"/>
    <x v="0"/>
    <x v="10"/>
    <x v="1"/>
  </r>
  <r>
    <x v="149"/>
    <x v="37"/>
    <x v="5"/>
    <x v="1"/>
    <x v="2"/>
    <m/>
    <x v="350"/>
    <x v="10"/>
    <x v="1"/>
  </r>
  <r>
    <x v="149"/>
    <x v="37"/>
    <x v="62"/>
    <x v="46"/>
    <x v="59"/>
    <n v="10008"/>
    <x v="0"/>
    <x v="10"/>
    <x v="1"/>
  </r>
  <r>
    <x v="149"/>
    <x v="37"/>
    <x v="78"/>
    <x v="51"/>
    <x v="130"/>
    <n v="7080"/>
    <x v="0"/>
    <x v="10"/>
    <x v="1"/>
  </r>
  <r>
    <x v="149"/>
    <x v="37"/>
    <x v="85"/>
    <x v="2"/>
    <x v="129"/>
    <n v="6180"/>
    <x v="0"/>
    <x v="10"/>
    <x v="1"/>
  </r>
  <r>
    <x v="149"/>
    <x v="56"/>
    <x v="5"/>
    <x v="1"/>
    <x v="2"/>
    <m/>
    <x v="351"/>
    <x v="10"/>
    <x v="1"/>
  </r>
  <r>
    <x v="149"/>
    <x v="56"/>
    <x v="39"/>
    <x v="39"/>
    <x v="68"/>
    <n v="8000"/>
    <x v="0"/>
    <x v="10"/>
    <x v="1"/>
  </r>
  <r>
    <x v="149"/>
    <x v="4"/>
    <x v="5"/>
    <x v="1"/>
    <x v="2"/>
    <m/>
    <x v="352"/>
    <x v="10"/>
    <x v="1"/>
  </r>
  <r>
    <x v="149"/>
    <x v="4"/>
    <x v="91"/>
    <x v="10"/>
    <x v="116"/>
    <n v="1200"/>
    <x v="0"/>
    <x v="10"/>
    <x v="1"/>
  </r>
  <r>
    <x v="149"/>
    <x v="4"/>
    <x v="9"/>
    <x v="10"/>
    <x v="39"/>
    <n v="700"/>
    <x v="0"/>
    <x v="10"/>
    <x v="1"/>
  </r>
  <r>
    <x v="149"/>
    <x v="4"/>
    <x v="9"/>
    <x v="8"/>
    <x v="34"/>
    <n v="340"/>
    <x v="0"/>
    <x v="10"/>
    <x v="1"/>
  </r>
  <r>
    <x v="149"/>
    <x v="4"/>
    <x v="53"/>
    <x v="0"/>
    <x v="57"/>
    <n v="840"/>
    <x v="0"/>
    <x v="10"/>
    <x v="1"/>
  </r>
  <r>
    <x v="149"/>
    <x v="4"/>
    <x v="8"/>
    <x v="12"/>
    <x v="80"/>
    <n v="2650"/>
    <x v="0"/>
    <x v="10"/>
    <x v="1"/>
  </r>
  <r>
    <x v="149"/>
    <x v="21"/>
    <x v="5"/>
    <x v="1"/>
    <x v="2"/>
    <m/>
    <x v="20"/>
    <x v="10"/>
    <x v="1"/>
  </r>
  <r>
    <x v="149"/>
    <x v="21"/>
    <x v="39"/>
    <x v="3"/>
    <x v="26"/>
    <n v="3300"/>
    <x v="0"/>
    <x v="10"/>
    <x v="1"/>
  </r>
  <r>
    <x v="149"/>
    <x v="5"/>
    <x v="5"/>
    <x v="1"/>
    <x v="2"/>
    <m/>
    <x v="353"/>
    <x v="10"/>
    <x v="1"/>
  </r>
  <r>
    <x v="149"/>
    <x v="5"/>
    <x v="17"/>
    <x v="10"/>
    <x v="150"/>
    <n v="810"/>
    <x v="0"/>
    <x v="10"/>
    <x v="1"/>
  </r>
  <r>
    <x v="149"/>
    <x v="5"/>
    <x v="9"/>
    <x v="9"/>
    <x v="4"/>
    <n v="1035"/>
    <x v="0"/>
    <x v="10"/>
    <x v="1"/>
  </r>
  <r>
    <x v="149"/>
    <x v="5"/>
    <x v="39"/>
    <x v="14"/>
    <x v="26"/>
    <n v="4950"/>
    <x v="0"/>
    <x v="10"/>
    <x v="1"/>
  </r>
  <r>
    <x v="149"/>
    <x v="5"/>
    <x v="49"/>
    <x v="26"/>
    <x v="151"/>
    <n v="5100"/>
    <x v="0"/>
    <x v="10"/>
    <x v="1"/>
  </r>
  <r>
    <x v="149"/>
    <x v="5"/>
    <x v="8"/>
    <x v="3"/>
    <x v="30"/>
    <n v="5350"/>
    <x v="0"/>
    <x v="10"/>
    <x v="1"/>
  </r>
  <r>
    <x v="149"/>
    <x v="5"/>
    <x v="24"/>
    <x v="9"/>
    <x v="15"/>
    <n v="1440"/>
    <x v="0"/>
    <x v="10"/>
    <x v="1"/>
  </r>
  <r>
    <x v="149"/>
    <x v="5"/>
    <x v="57"/>
    <x v="10"/>
    <x v="15"/>
    <n v="960"/>
    <x v="0"/>
    <x v="10"/>
    <x v="1"/>
  </r>
  <r>
    <x v="149"/>
    <x v="26"/>
    <x v="5"/>
    <x v="1"/>
    <x v="2"/>
    <m/>
    <x v="86"/>
    <x v="10"/>
    <x v="1"/>
  </r>
  <r>
    <x v="149"/>
    <x v="26"/>
    <x v="39"/>
    <x v="12"/>
    <x v="26"/>
    <n v="1650"/>
    <x v="0"/>
    <x v="10"/>
    <x v="1"/>
  </r>
  <r>
    <x v="149"/>
    <x v="26"/>
    <x v="24"/>
    <x v="8"/>
    <x v="149"/>
    <n v="470"/>
    <x v="0"/>
    <x v="10"/>
    <x v="1"/>
  </r>
  <r>
    <x v="150"/>
    <x v="2"/>
    <x v="5"/>
    <x v="1"/>
    <x v="2"/>
    <m/>
    <x v="113"/>
    <x v="10"/>
    <x v="1"/>
  </r>
  <r>
    <x v="150"/>
    <x v="2"/>
    <x v="8"/>
    <x v="20"/>
    <x v="5"/>
    <n v="26250"/>
    <x v="0"/>
    <x v="10"/>
    <x v="1"/>
  </r>
  <r>
    <x v="150"/>
    <x v="50"/>
    <x v="5"/>
    <x v="1"/>
    <x v="2"/>
    <m/>
    <x v="354"/>
    <x v="10"/>
    <x v="1"/>
  </r>
  <r>
    <x v="150"/>
    <x v="50"/>
    <x v="39"/>
    <x v="17"/>
    <x v="152"/>
    <n v="12600"/>
    <x v="0"/>
    <x v="10"/>
    <x v="1"/>
  </r>
  <r>
    <x v="151"/>
    <x v="26"/>
    <x v="5"/>
    <x v="1"/>
    <x v="2"/>
    <m/>
    <x v="355"/>
    <x v="10"/>
    <x v="1"/>
  </r>
  <r>
    <x v="151"/>
    <x v="26"/>
    <x v="39"/>
    <x v="4"/>
    <x v="26"/>
    <n v="6600"/>
    <x v="0"/>
    <x v="10"/>
    <x v="1"/>
  </r>
  <r>
    <x v="151"/>
    <x v="26"/>
    <x v="8"/>
    <x v="3"/>
    <x v="30"/>
    <n v="5350"/>
    <x v="0"/>
    <x v="10"/>
    <x v="1"/>
  </r>
  <r>
    <x v="151"/>
    <x v="57"/>
    <x v="5"/>
    <x v="1"/>
    <x v="2"/>
    <m/>
    <x v="356"/>
    <x v="10"/>
    <x v="1"/>
  </r>
  <r>
    <x v="151"/>
    <x v="57"/>
    <x v="39"/>
    <x v="4"/>
    <x v="27"/>
    <n v="6500"/>
    <x v="0"/>
    <x v="10"/>
    <x v="1"/>
  </r>
  <r>
    <x v="151"/>
    <x v="57"/>
    <x v="7"/>
    <x v="3"/>
    <x v="118"/>
    <n v="4150"/>
    <x v="0"/>
    <x v="10"/>
    <x v="1"/>
  </r>
  <r>
    <x v="151"/>
    <x v="58"/>
    <x v="5"/>
    <x v="1"/>
    <x v="2"/>
    <m/>
    <x v="357"/>
    <x v="10"/>
    <x v="1"/>
  </r>
  <r>
    <x v="151"/>
    <x v="58"/>
    <x v="8"/>
    <x v="10"/>
    <x v="12"/>
    <n v="1080"/>
    <x v="0"/>
    <x v="10"/>
    <x v="1"/>
  </r>
  <r>
    <x v="151"/>
    <x v="58"/>
    <x v="104"/>
    <x v="8"/>
    <x v="68"/>
    <n v="320"/>
    <x v="0"/>
    <x v="10"/>
    <x v="1"/>
  </r>
  <r>
    <x v="152"/>
    <x v="2"/>
    <x v="5"/>
    <x v="1"/>
    <x v="2"/>
    <m/>
    <x v="6"/>
    <x v="10"/>
    <x v="1"/>
  </r>
  <r>
    <x v="152"/>
    <x v="2"/>
    <x v="21"/>
    <x v="8"/>
    <x v="8"/>
    <n v="750"/>
    <x v="0"/>
    <x v="10"/>
    <x v="1"/>
  </r>
  <r>
    <x v="153"/>
    <x v="15"/>
    <x v="5"/>
    <x v="1"/>
    <x v="2"/>
    <m/>
    <x v="358"/>
    <x v="10"/>
    <x v="1"/>
  </r>
  <r>
    <x v="153"/>
    <x v="15"/>
    <x v="8"/>
    <x v="9"/>
    <x v="153"/>
    <n v="1600"/>
    <x v="0"/>
    <x v="10"/>
    <x v="1"/>
  </r>
  <r>
    <x v="153"/>
    <x v="15"/>
    <x v="8"/>
    <x v="0"/>
    <x v="80"/>
    <n v="2120"/>
    <x v="0"/>
    <x v="10"/>
    <x v="1"/>
  </r>
  <r>
    <x v="153"/>
    <x v="15"/>
    <x v="8"/>
    <x v="45"/>
    <x v="80"/>
    <n v="4240"/>
    <x v="0"/>
    <x v="10"/>
    <x v="1"/>
  </r>
  <r>
    <x v="153"/>
    <x v="2"/>
    <x v="5"/>
    <x v="1"/>
    <x v="2"/>
    <m/>
    <x v="359"/>
    <x v="10"/>
    <x v="1"/>
  </r>
  <r>
    <x v="153"/>
    <x v="2"/>
    <x v="21"/>
    <x v="8"/>
    <x v="31"/>
    <n v="780"/>
    <x v="0"/>
    <x v="10"/>
    <x v="1"/>
  </r>
  <r>
    <x v="153"/>
    <x v="17"/>
    <x v="5"/>
    <x v="1"/>
    <x v="2"/>
    <m/>
    <x v="360"/>
    <x v="10"/>
    <x v="1"/>
  </r>
  <r>
    <x v="153"/>
    <x v="17"/>
    <x v="39"/>
    <x v="4"/>
    <x v="68"/>
    <n v="6400"/>
    <x v="0"/>
    <x v="10"/>
    <x v="1"/>
  </r>
  <r>
    <x v="153"/>
    <x v="51"/>
    <x v="5"/>
    <x v="1"/>
    <x v="2"/>
    <m/>
    <x v="314"/>
    <x v="10"/>
    <x v="1"/>
  </r>
  <r>
    <x v="153"/>
    <x v="51"/>
    <x v="91"/>
    <x v="2"/>
    <x v="132"/>
    <n v="7080"/>
    <x v="0"/>
    <x v="10"/>
    <x v="1"/>
  </r>
  <r>
    <x v="153"/>
    <x v="14"/>
    <x v="5"/>
    <x v="1"/>
    <x v="2"/>
    <m/>
    <x v="275"/>
    <x v="10"/>
    <x v="1"/>
  </r>
  <r>
    <x v="153"/>
    <x v="14"/>
    <x v="91"/>
    <x v="10"/>
    <x v="132"/>
    <n v="1180"/>
    <x v="0"/>
    <x v="10"/>
    <x v="1"/>
  </r>
  <r>
    <x v="153"/>
    <x v="0"/>
    <x v="5"/>
    <x v="1"/>
    <x v="2"/>
    <m/>
    <x v="278"/>
    <x v="10"/>
    <x v="1"/>
  </r>
  <r>
    <x v="153"/>
    <x v="0"/>
    <x v="91"/>
    <x v="55"/>
    <x v="132"/>
    <n v="8260"/>
    <x v="0"/>
    <x v="10"/>
    <x v="1"/>
  </r>
  <r>
    <x v="153"/>
    <x v="11"/>
    <x v="5"/>
    <x v="1"/>
    <x v="2"/>
    <m/>
    <x v="306"/>
    <x v="10"/>
    <x v="1"/>
  </r>
  <r>
    <x v="153"/>
    <x v="11"/>
    <x v="91"/>
    <x v="3"/>
    <x v="132"/>
    <n v="5900"/>
    <x v="0"/>
    <x v="10"/>
    <x v="1"/>
  </r>
  <r>
    <x v="153"/>
    <x v="14"/>
    <x v="5"/>
    <x v="1"/>
    <x v="2"/>
    <m/>
    <x v="257"/>
    <x v="10"/>
    <x v="1"/>
  </r>
  <r>
    <x v="153"/>
    <x v="14"/>
    <x v="91"/>
    <x v="14"/>
    <x v="132"/>
    <n v="8850"/>
    <x v="0"/>
    <x v="10"/>
    <x v="1"/>
  </r>
  <r>
    <x v="153"/>
    <x v="1"/>
    <x v="5"/>
    <x v="1"/>
    <x v="2"/>
    <m/>
    <x v="312"/>
    <x v="10"/>
    <x v="1"/>
  </r>
  <r>
    <x v="153"/>
    <x v="1"/>
    <x v="91"/>
    <x v="16"/>
    <x v="132"/>
    <n v="17700"/>
    <x v="0"/>
    <x v="10"/>
    <x v="1"/>
  </r>
  <r>
    <x v="153"/>
    <x v="51"/>
    <x v="5"/>
    <x v="1"/>
    <x v="2"/>
    <m/>
    <x v="361"/>
    <x v="10"/>
    <x v="1"/>
  </r>
  <r>
    <x v="153"/>
    <x v="51"/>
    <x v="91"/>
    <x v="72"/>
    <x v="132"/>
    <n v="12390"/>
    <x v="0"/>
    <x v="10"/>
    <x v="1"/>
  </r>
  <r>
    <x v="153"/>
    <x v="5"/>
    <x v="5"/>
    <x v="1"/>
    <x v="2"/>
    <m/>
    <x v="362"/>
    <x v="10"/>
    <x v="1"/>
  </r>
  <r>
    <x v="153"/>
    <x v="5"/>
    <x v="39"/>
    <x v="4"/>
    <x v="26"/>
    <n v="6600"/>
    <x v="0"/>
    <x v="10"/>
    <x v="1"/>
  </r>
  <r>
    <x v="153"/>
    <x v="5"/>
    <x v="49"/>
    <x v="30"/>
    <x v="151"/>
    <n v="6800"/>
    <x v="0"/>
    <x v="10"/>
    <x v="1"/>
  </r>
  <r>
    <x v="153"/>
    <x v="5"/>
    <x v="7"/>
    <x v="0"/>
    <x v="118"/>
    <n v="1660"/>
    <x v="0"/>
    <x v="10"/>
    <x v="1"/>
  </r>
  <r>
    <x v="153"/>
    <x v="5"/>
    <x v="95"/>
    <x v="0"/>
    <x v="4"/>
    <n v="1380"/>
    <x v="0"/>
    <x v="10"/>
    <x v="1"/>
  </r>
  <r>
    <x v="153"/>
    <x v="5"/>
    <x v="80"/>
    <x v="0"/>
    <x v="4"/>
    <n v="1380"/>
    <x v="0"/>
    <x v="10"/>
    <x v="1"/>
  </r>
  <r>
    <x v="153"/>
    <x v="5"/>
    <x v="8"/>
    <x v="3"/>
    <x v="30"/>
    <n v="5350"/>
    <x v="0"/>
    <x v="10"/>
    <x v="1"/>
  </r>
  <r>
    <x v="153"/>
    <x v="5"/>
    <x v="22"/>
    <x v="8"/>
    <x v="14"/>
    <n v="500"/>
    <x v="0"/>
    <x v="10"/>
    <x v="1"/>
  </r>
  <r>
    <x v="153"/>
    <x v="5"/>
    <x v="10"/>
    <x v="10"/>
    <x v="37"/>
    <n v="600"/>
    <x v="0"/>
    <x v="10"/>
    <x v="1"/>
  </r>
  <r>
    <x v="153"/>
    <x v="5"/>
    <x v="73"/>
    <x v="8"/>
    <x v="37"/>
    <n v="300"/>
    <x v="0"/>
    <x v="10"/>
    <x v="1"/>
  </r>
  <r>
    <x v="154"/>
    <x v="55"/>
    <x v="5"/>
    <x v="1"/>
    <x v="2"/>
    <m/>
    <x v="363"/>
    <x v="10"/>
    <x v="1"/>
  </r>
  <r>
    <x v="154"/>
    <x v="55"/>
    <x v="39"/>
    <x v="20"/>
    <x v="152"/>
    <n v="15750"/>
    <x v="0"/>
    <x v="10"/>
    <x v="1"/>
  </r>
  <r>
    <x v="154"/>
    <x v="55"/>
    <x v="8"/>
    <x v="16"/>
    <x v="80"/>
    <n v="15900"/>
    <x v="0"/>
    <x v="10"/>
    <x v="1"/>
  </r>
  <r>
    <x v="154"/>
    <x v="17"/>
    <x v="5"/>
    <x v="1"/>
    <x v="2"/>
    <m/>
    <x v="364"/>
    <x v="10"/>
    <x v="1"/>
  </r>
  <r>
    <x v="154"/>
    <x v="17"/>
    <x v="39"/>
    <x v="12"/>
    <x v="68"/>
    <n v="1600"/>
    <x v="0"/>
    <x v="10"/>
    <x v="1"/>
  </r>
  <r>
    <x v="154"/>
    <x v="54"/>
    <x v="5"/>
    <x v="1"/>
    <x v="2"/>
    <m/>
    <x v="167"/>
    <x v="10"/>
    <x v="1"/>
  </r>
  <r>
    <x v="154"/>
    <x v="54"/>
    <x v="85"/>
    <x v="2"/>
    <x v="129"/>
    <n v="6180"/>
    <x v="0"/>
    <x v="10"/>
    <x v="1"/>
  </r>
  <r>
    <x v="154"/>
    <x v="50"/>
    <x v="5"/>
    <x v="1"/>
    <x v="2"/>
    <m/>
    <x v="365"/>
    <x v="10"/>
    <x v="1"/>
  </r>
  <r>
    <x v="154"/>
    <x v="50"/>
    <x v="39"/>
    <x v="3"/>
    <x v="152"/>
    <n v="3150"/>
    <x v="0"/>
    <x v="10"/>
    <x v="1"/>
  </r>
  <r>
    <x v="154"/>
    <x v="12"/>
    <x v="5"/>
    <x v="1"/>
    <x v="2"/>
    <m/>
    <x v="366"/>
    <x v="10"/>
    <x v="1"/>
  </r>
  <r>
    <x v="154"/>
    <x v="12"/>
    <x v="39"/>
    <x v="9"/>
    <x v="68"/>
    <n v="960"/>
    <x v="0"/>
    <x v="10"/>
    <x v="1"/>
  </r>
  <r>
    <x v="154"/>
    <x v="12"/>
    <x v="91"/>
    <x v="10"/>
    <x v="132"/>
    <n v="1180"/>
    <x v="0"/>
    <x v="10"/>
    <x v="1"/>
  </r>
  <r>
    <x v="155"/>
    <x v="15"/>
    <x v="5"/>
    <x v="1"/>
    <x v="2"/>
    <m/>
    <x v="367"/>
    <x v="10"/>
    <x v="1"/>
  </r>
  <r>
    <x v="155"/>
    <x v="15"/>
    <x v="8"/>
    <x v="3"/>
    <x v="80"/>
    <n v="5300"/>
    <x v="0"/>
    <x v="10"/>
    <x v="1"/>
  </r>
  <r>
    <x v="155"/>
    <x v="15"/>
    <x v="35"/>
    <x v="9"/>
    <x v="154"/>
    <n v="420"/>
    <x v="0"/>
    <x v="10"/>
    <x v="1"/>
  </r>
  <r>
    <x v="155"/>
    <x v="15"/>
    <x v="32"/>
    <x v="10"/>
    <x v="64"/>
    <n v="320"/>
    <x v="0"/>
    <x v="10"/>
    <x v="1"/>
  </r>
  <r>
    <x v="156"/>
    <x v="23"/>
    <x v="5"/>
    <x v="1"/>
    <x v="2"/>
    <m/>
    <x v="368"/>
    <x v="10"/>
    <x v="1"/>
  </r>
  <r>
    <x v="156"/>
    <x v="23"/>
    <x v="39"/>
    <x v="12"/>
    <x v="26"/>
    <n v="1650"/>
    <x v="0"/>
    <x v="10"/>
    <x v="1"/>
  </r>
  <r>
    <x v="156"/>
    <x v="23"/>
    <x v="8"/>
    <x v="12"/>
    <x v="11"/>
    <n v="2750"/>
    <x v="0"/>
    <x v="10"/>
    <x v="1"/>
  </r>
  <r>
    <x v="156"/>
    <x v="23"/>
    <x v="104"/>
    <x v="8"/>
    <x v="26"/>
    <n v="330"/>
    <x v="0"/>
    <x v="10"/>
    <x v="1"/>
  </r>
  <r>
    <x v="156"/>
    <x v="23"/>
    <x v="80"/>
    <x v="0"/>
    <x v="39"/>
    <n v="1400"/>
    <x v="0"/>
    <x v="10"/>
    <x v="1"/>
  </r>
  <r>
    <x v="156"/>
    <x v="23"/>
    <x v="49"/>
    <x v="38"/>
    <x v="151"/>
    <n v="3400"/>
    <x v="0"/>
    <x v="10"/>
    <x v="1"/>
  </r>
  <r>
    <x v="156"/>
    <x v="13"/>
    <x v="5"/>
    <x v="1"/>
    <x v="2"/>
    <m/>
    <x v="369"/>
    <x v="10"/>
    <x v="1"/>
  </r>
  <r>
    <x v="156"/>
    <x v="13"/>
    <x v="39"/>
    <x v="12"/>
    <x v="152"/>
    <n v="1575"/>
    <x v="0"/>
    <x v="10"/>
    <x v="1"/>
  </r>
  <r>
    <x v="156"/>
    <x v="13"/>
    <x v="5"/>
    <x v="1"/>
    <x v="2"/>
    <m/>
    <x v="370"/>
    <x v="10"/>
    <x v="1"/>
  </r>
  <r>
    <x v="156"/>
    <x v="13"/>
    <x v="39"/>
    <x v="73"/>
    <x v="152"/>
    <n v="63000"/>
    <x v="0"/>
    <x v="10"/>
    <x v="1"/>
  </r>
  <r>
    <x v="156"/>
    <x v="12"/>
    <x v="5"/>
    <x v="1"/>
    <x v="2"/>
    <m/>
    <x v="371"/>
    <x v="10"/>
    <x v="1"/>
  </r>
  <r>
    <x v="156"/>
    <x v="12"/>
    <x v="39"/>
    <x v="24"/>
    <x v="152"/>
    <n v="31500"/>
    <x v="0"/>
    <x v="10"/>
    <x v="1"/>
  </r>
  <r>
    <x v="156"/>
    <x v="58"/>
    <x v="5"/>
    <x v="1"/>
    <x v="2"/>
    <m/>
    <x v="372"/>
    <x v="10"/>
    <x v="1"/>
  </r>
  <r>
    <x v="156"/>
    <x v="58"/>
    <x v="39"/>
    <x v="20"/>
    <x v="68"/>
    <n v="16000"/>
    <x v="0"/>
    <x v="10"/>
    <x v="1"/>
  </r>
  <r>
    <x v="156"/>
    <x v="34"/>
    <x v="5"/>
    <x v="1"/>
    <x v="2"/>
    <m/>
    <x v="373"/>
    <x v="10"/>
    <x v="1"/>
  </r>
  <r>
    <x v="156"/>
    <x v="34"/>
    <x v="39"/>
    <x v="16"/>
    <x v="27"/>
    <n v="9750"/>
    <x v="0"/>
    <x v="10"/>
    <x v="1"/>
  </r>
  <r>
    <x v="156"/>
    <x v="34"/>
    <x v="57"/>
    <x v="8"/>
    <x v="46"/>
    <n v="400"/>
    <x v="0"/>
    <x v="10"/>
    <x v="1"/>
  </r>
  <r>
    <x v="156"/>
    <x v="34"/>
    <x v="104"/>
    <x v="8"/>
    <x v="26"/>
    <n v="330"/>
    <x v="0"/>
    <x v="10"/>
    <x v="1"/>
  </r>
  <r>
    <x v="156"/>
    <x v="17"/>
    <x v="5"/>
    <x v="1"/>
    <x v="2"/>
    <m/>
    <x v="374"/>
    <x v="10"/>
    <x v="1"/>
  </r>
  <r>
    <x v="156"/>
    <x v="17"/>
    <x v="39"/>
    <x v="3"/>
    <x v="68"/>
    <n v="3200"/>
    <x v="0"/>
    <x v="10"/>
    <x v="1"/>
  </r>
  <r>
    <x v="156"/>
    <x v="15"/>
    <x v="5"/>
    <x v="1"/>
    <x v="2"/>
    <m/>
    <x v="145"/>
    <x v="10"/>
    <x v="1"/>
  </r>
  <r>
    <x v="156"/>
    <x v="15"/>
    <x v="105"/>
    <x v="8"/>
    <x v="155"/>
    <n v="865"/>
    <x v="0"/>
    <x v="10"/>
    <x v="1"/>
  </r>
  <r>
    <x v="156"/>
    <x v="15"/>
    <x v="21"/>
    <x v="8"/>
    <x v="66"/>
    <n v="790"/>
    <x v="0"/>
    <x v="10"/>
    <x v="1"/>
  </r>
  <r>
    <x v="156"/>
    <x v="15"/>
    <x v="106"/>
    <x v="10"/>
    <x v="156"/>
    <n v="200"/>
    <x v="0"/>
    <x v="10"/>
    <x v="1"/>
  </r>
  <r>
    <x v="156"/>
    <x v="6"/>
    <x v="5"/>
    <x v="1"/>
    <x v="2"/>
    <m/>
    <x v="0"/>
    <x v="10"/>
    <x v="1"/>
  </r>
  <r>
    <x v="157"/>
    <x v="5"/>
    <x v="5"/>
    <x v="1"/>
    <x v="2"/>
    <m/>
    <x v="375"/>
    <x v="11"/>
    <x v="1"/>
  </r>
  <r>
    <x v="157"/>
    <x v="5"/>
    <x v="87"/>
    <x v="8"/>
    <x v="34"/>
    <n v="340"/>
    <x v="0"/>
    <x v="11"/>
    <x v="1"/>
  </r>
  <r>
    <x v="157"/>
    <x v="5"/>
    <x v="71"/>
    <x v="11"/>
    <x v="37"/>
    <n v="1800"/>
    <x v="0"/>
    <x v="11"/>
    <x v="1"/>
  </r>
  <r>
    <x v="157"/>
    <x v="5"/>
    <x v="21"/>
    <x v="10"/>
    <x v="87"/>
    <n v="1720"/>
    <x v="0"/>
    <x v="11"/>
    <x v="1"/>
  </r>
  <r>
    <x v="157"/>
    <x v="5"/>
    <x v="39"/>
    <x v="16"/>
    <x v="26"/>
    <n v="9900"/>
    <x v="0"/>
    <x v="11"/>
    <x v="1"/>
  </r>
  <r>
    <x v="157"/>
    <x v="5"/>
    <x v="40"/>
    <x v="37"/>
    <x v="37"/>
    <n v="3300"/>
    <x v="0"/>
    <x v="11"/>
    <x v="1"/>
  </r>
  <r>
    <x v="157"/>
    <x v="5"/>
    <x v="7"/>
    <x v="8"/>
    <x v="118"/>
    <n v="415"/>
    <x v="0"/>
    <x v="11"/>
    <x v="1"/>
  </r>
  <r>
    <x v="157"/>
    <x v="5"/>
    <x v="57"/>
    <x v="9"/>
    <x v="46"/>
    <n v="1200"/>
    <x v="0"/>
    <x v="11"/>
    <x v="1"/>
  </r>
  <r>
    <x v="157"/>
    <x v="5"/>
    <x v="8"/>
    <x v="45"/>
    <x v="30"/>
    <n v="4280"/>
    <x v="0"/>
    <x v="11"/>
    <x v="1"/>
  </r>
  <r>
    <x v="157"/>
    <x v="5"/>
    <x v="49"/>
    <x v="30"/>
    <x v="151"/>
    <n v="6800"/>
    <x v="0"/>
    <x v="11"/>
    <x v="1"/>
  </r>
  <r>
    <x v="157"/>
    <x v="5"/>
    <x v="95"/>
    <x v="0"/>
    <x v="4"/>
    <n v="1380"/>
    <x v="0"/>
    <x v="11"/>
    <x v="1"/>
  </r>
  <r>
    <x v="157"/>
    <x v="5"/>
    <x v="17"/>
    <x v="10"/>
    <x v="150"/>
    <n v="810"/>
    <x v="0"/>
    <x v="11"/>
    <x v="1"/>
  </r>
  <r>
    <x v="157"/>
    <x v="5"/>
    <x v="10"/>
    <x v="12"/>
    <x v="65"/>
    <n v="2725"/>
    <x v="0"/>
    <x v="11"/>
    <x v="1"/>
  </r>
  <r>
    <x v="157"/>
    <x v="5"/>
    <x v="19"/>
    <x v="12"/>
    <x v="8"/>
    <n v="3750"/>
    <x v="0"/>
    <x v="11"/>
    <x v="1"/>
  </r>
  <r>
    <x v="157"/>
    <x v="15"/>
    <x v="5"/>
    <x v="1"/>
    <x v="2"/>
    <m/>
    <x v="376"/>
    <x v="11"/>
    <x v="1"/>
  </r>
  <r>
    <x v="157"/>
    <x v="15"/>
    <x v="8"/>
    <x v="3"/>
    <x v="80"/>
    <n v="5300"/>
    <x v="0"/>
    <x v="11"/>
    <x v="1"/>
  </r>
  <r>
    <x v="157"/>
    <x v="15"/>
    <x v="39"/>
    <x v="3"/>
    <x v="152"/>
    <n v="3150"/>
    <x v="0"/>
    <x v="11"/>
    <x v="1"/>
  </r>
  <r>
    <x v="158"/>
    <x v="34"/>
    <x v="5"/>
    <x v="1"/>
    <x v="2"/>
    <m/>
    <x v="377"/>
    <x v="11"/>
    <x v="1"/>
  </r>
  <r>
    <x v="158"/>
    <x v="34"/>
    <x v="8"/>
    <x v="3"/>
    <x v="11"/>
    <n v="5500"/>
    <x v="0"/>
    <x v="11"/>
    <x v="1"/>
  </r>
  <r>
    <x v="158"/>
    <x v="34"/>
    <x v="91"/>
    <x v="0"/>
    <x v="116"/>
    <n v="2400"/>
    <x v="0"/>
    <x v="11"/>
    <x v="1"/>
  </r>
  <r>
    <x v="158"/>
    <x v="34"/>
    <x v="23"/>
    <x v="8"/>
    <x v="14"/>
    <n v="500"/>
    <x v="0"/>
    <x v="11"/>
    <x v="1"/>
  </r>
  <r>
    <x v="158"/>
    <x v="50"/>
    <x v="5"/>
    <x v="1"/>
    <x v="2"/>
    <m/>
    <x v="354"/>
    <x v="11"/>
    <x v="1"/>
  </r>
  <r>
    <x v="158"/>
    <x v="50"/>
    <x v="39"/>
    <x v="17"/>
    <x v="152"/>
    <n v="12600"/>
    <x v="0"/>
    <x v="11"/>
    <x v="1"/>
  </r>
  <r>
    <x v="158"/>
    <x v="17"/>
    <x v="5"/>
    <x v="1"/>
    <x v="2"/>
    <m/>
    <x v="360"/>
    <x v="11"/>
    <x v="1"/>
  </r>
  <r>
    <x v="158"/>
    <x v="17"/>
    <x v="39"/>
    <x v="4"/>
    <x v="68"/>
    <n v="6400"/>
    <x v="0"/>
    <x v="11"/>
    <x v="1"/>
  </r>
  <r>
    <x v="158"/>
    <x v="1"/>
    <x v="5"/>
    <x v="1"/>
    <x v="2"/>
    <m/>
    <x v="378"/>
    <x v="11"/>
    <x v="1"/>
  </r>
  <r>
    <x v="158"/>
    <x v="1"/>
    <x v="7"/>
    <x v="33"/>
    <x v="15"/>
    <n v="3360"/>
    <x v="0"/>
    <x v="11"/>
    <x v="1"/>
  </r>
  <r>
    <x v="159"/>
    <x v="15"/>
    <x v="5"/>
    <x v="1"/>
    <x v="2"/>
    <m/>
    <x v="379"/>
    <x v="11"/>
    <x v="1"/>
  </r>
  <r>
    <x v="159"/>
    <x v="15"/>
    <x v="39"/>
    <x v="3"/>
    <x v="26"/>
    <n v="3300"/>
    <x v="0"/>
    <x v="11"/>
    <x v="1"/>
  </r>
  <r>
    <x v="159"/>
    <x v="15"/>
    <x v="25"/>
    <x v="10"/>
    <x v="128"/>
    <n v="1400"/>
    <x v="0"/>
    <x v="11"/>
    <x v="1"/>
  </r>
  <r>
    <x v="159"/>
    <x v="15"/>
    <x v="23"/>
    <x v="10"/>
    <x v="52"/>
    <n v="1020"/>
    <x v="0"/>
    <x v="11"/>
    <x v="1"/>
  </r>
  <r>
    <x v="159"/>
    <x v="15"/>
    <x v="20"/>
    <x v="8"/>
    <x v="80"/>
    <n v="530"/>
    <x v="0"/>
    <x v="11"/>
    <x v="1"/>
  </r>
  <r>
    <x v="159"/>
    <x v="15"/>
    <x v="107"/>
    <x v="8"/>
    <x v="13"/>
    <n v="740"/>
    <x v="0"/>
    <x v="11"/>
    <x v="1"/>
  </r>
  <r>
    <x v="159"/>
    <x v="15"/>
    <x v="4"/>
    <x v="12"/>
    <x v="24"/>
    <n v="925"/>
    <x v="0"/>
    <x v="11"/>
    <x v="1"/>
  </r>
  <r>
    <x v="159"/>
    <x v="15"/>
    <x v="26"/>
    <x v="8"/>
    <x v="12"/>
    <n v="540"/>
    <x v="0"/>
    <x v="11"/>
    <x v="1"/>
  </r>
  <r>
    <x v="159"/>
    <x v="0"/>
    <x v="5"/>
    <x v="1"/>
    <x v="2"/>
    <m/>
    <x v="354"/>
    <x v="11"/>
    <x v="1"/>
  </r>
  <r>
    <x v="159"/>
    <x v="0"/>
    <x v="39"/>
    <x v="17"/>
    <x v="152"/>
    <n v="12600"/>
    <x v="0"/>
    <x v="11"/>
    <x v="1"/>
  </r>
  <r>
    <x v="159"/>
    <x v="15"/>
    <x v="5"/>
    <x v="1"/>
    <x v="2"/>
    <m/>
    <x v="380"/>
    <x v="11"/>
    <x v="1"/>
  </r>
  <r>
    <x v="159"/>
    <x v="15"/>
    <x v="39"/>
    <x v="20"/>
    <x v="152"/>
    <n v="15750"/>
    <x v="0"/>
    <x v="11"/>
    <x v="1"/>
  </r>
  <r>
    <x v="160"/>
    <x v="17"/>
    <x v="5"/>
    <x v="1"/>
    <x v="2"/>
    <m/>
    <x v="81"/>
    <x v="11"/>
    <x v="1"/>
  </r>
  <r>
    <x v="160"/>
    <x v="17"/>
    <x v="39"/>
    <x v="4"/>
    <x v="68"/>
    <n v="6400"/>
    <x v="0"/>
    <x v="11"/>
    <x v="1"/>
  </r>
  <r>
    <x v="160"/>
    <x v="17"/>
    <x v="39"/>
    <x v="3"/>
    <x v="68"/>
    <n v="3200"/>
    <x v="0"/>
    <x v="11"/>
    <x v="1"/>
  </r>
  <r>
    <x v="160"/>
    <x v="17"/>
    <x v="39"/>
    <x v="3"/>
    <x v="68"/>
    <n v="3200"/>
    <x v="0"/>
    <x v="11"/>
    <x v="1"/>
  </r>
  <r>
    <x v="160"/>
    <x v="15"/>
    <x v="5"/>
    <x v="1"/>
    <x v="2"/>
    <m/>
    <x v="381"/>
    <x v="11"/>
    <x v="1"/>
  </r>
  <r>
    <x v="160"/>
    <x v="15"/>
    <x v="39"/>
    <x v="8"/>
    <x v="6"/>
    <n v="335"/>
    <x v="0"/>
    <x v="11"/>
    <x v="1"/>
  </r>
  <r>
    <x v="160"/>
    <x v="15"/>
    <x v="49"/>
    <x v="22"/>
    <x v="43"/>
    <n v="190"/>
    <x v="0"/>
    <x v="11"/>
    <x v="1"/>
  </r>
  <r>
    <x v="160"/>
    <x v="15"/>
    <x v="39"/>
    <x v="8"/>
    <x v="26"/>
    <n v="330"/>
    <x v="0"/>
    <x v="11"/>
    <x v="1"/>
  </r>
  <r>
    <x v="161"/>
    <x v="4"/>
    <x v="5"/>
    <x v="1"/>
    <x v="2"/>
    <m/>
    <x v="382"/>
    <x v="11"/>
    <x v="1"/>
  </r>
  <r>
    <x v="161"/>
    <x v="4"/>
    <x v="39"/>
    <x v="3"/>
    <x v="27"/>
    <n v="3250"/>
    <x v="0"/>
    <x v="11"/>
    <x v="1"/>
  </r>
  <r>
    <x v="161"/>
    <x v="4"/>
    <x v="23"/>
    <x v="8"/>
    <x v="32"/>
    <n v="520"/>
    <x v="0"/>
    <x v="11"/>
    <x v="1"/>
  </r>
  <r>
    <x v="161"/>
    <x v="4"/>
    <x v="17"/>
    <x v="10"/>
    <x v="157"/>
    <n v="1570"/>
    <x v="0"/>
    <x v="11"/>
    <x v="1"/>
  </r>
  <r>
    <x v="161"/>
    <x v="4"/>
    <x v="4"/>
    <x v="8"/>
    <x v="24"/>
    <m/>
    <x v="0"/>
    <x v="11"/>
    <x v="1"/>
  </r>
  <r>
    <x v="161"/>
    <x v="4"/>
    <x v="5"/>
    <x v="1"/>
    <x v="2"/>
    <m/>
    <x v="383"/>
    <x v="11"/>
    <x v="1"/>
  </r>
  <r>
    <x v="161"/>
    <x v="4"/>
    <x v="39"/>
    <x v="16"/>
    <x v="68"/>
    <n v="9600"/>
    <x v="0"/>
    <x v="11"/>
    <x v="1"/>
  </r>
  <r>
    <x v="161"/>
    <x v="4"/>
    <x v="10"/>
    <x v="10"/>
    <x v="12"/>
    <n v="1080"/>
    <x v="0"/>
    <x v="11"/>
    <x v="1"/>
  </r>
  <r>
    <x v="161"/>
    <x v="4"/>
    <x v="20"/>
    <x v="8"/>
    <x v="12"/>
    <n v="540"/>
    <x v="0"/>
    <x v="11"/>
    <x v="1"/>
  </r>
  <r>
    <x v="161"/>
    <x v="4"/>
    <x v="73"/>
    <x v="8"/>
    <x v="12"/>
    <n v="540"/>
    <x v="0"/>
    <x v="11"/>
    <x v="1"/>
  </r>
  <r>
    <x v="161"/>
    <x v="4"/>
    <x v="49"/>
    <x v="26"/>
    <x v="151"/>
    <n v="5100"/>
    <x v="0"/>
    <x v="11"/>
    <x v="1"/>
  </r>
  <r>
    <x v="161"/>
    <x v="4"/>
    <x v="26"/>
    <x v="8"/>
    <x v="12"/>
    <n v="540"/>
    <x v="0"/>
    <x v="11"/>
    <x v="1"/>
  </r>
  <r>
    <x v="161"/>
    <x v="4"/>
    <x v="17"/>
    <x v="8"/>
    <x v="8"/>
    <n v="750"/>
    <x v="0"/>
    <x v="11"/>
    <x v="1"/>
  </r>
  <r>
    <x v="161"/>
    <x v="4"/>
    <x v="5"/>
    <x v="1"/>
    <x v="2"/>
    <m/>
    <x v="384"/>
    <x v="11"/>
    <x v="1"/>
  </r>
  <r>
    <x v="161"/>
    <x v="4"/>
    <x v="20"/>
    <x v="3"/>
    <x v="20"/>
    <n v="5600"/>
    <x v="0"/>
    <x v="11"/>
    <x v="1"/>
  </r>
  <r>
    <x v="161"/>
    <x v="4"/>
    <x v="107"/>
    <x v="10"/>
    <x v="158"/>
    <n v="1520"/>
    <x v="0"/>
    <x v="11"/>
    <x v="1"/>
  </r>
  <r>
    <x v="161"/>
    <x v="4"/>
    <x v="64"/>
    <x v="0"/>
    <x v="31"/>
    <n v="3120"/>
    <x v="0"/>
    <x v="11"/>
    <x v="1"/>
  </r>
  <r>
    <x v="161"/>
    <x v="4"/>
    <x v="10"/>
    <x v="45"/>
    <x v="20"/>
    <n v="4480"/>
    <x v="0"/>
    <x v="11"/>
    <x v="1"/>
  </r>
  <r>
    <x v="161"/>
    <x v="4"/>
    <x v="73"/>
    <x v="9"/>
    <x v="12"/>
    <n v="1620"/>
    <x v="0"/>
    <x v="11"/>
    <x v="1"/>
  </r>
  <r>
    <x v="161"/>
    <x v="4"/>
    <x v="17"/>
    <x v="9"/>
    <x v="157"/>
    <n v="2355"/>
    <x v="0"/>
    <x v="11"/>
    <x v="1"/>
  </r>
  <r>
    <x v="161"/>
    <x v="4"/>
    <x v="18"/>
    <x v="10"/>
    <x v="157"/>
    <n v="1570"/>
    <x v="0"/>
    <x v="11"/>
    <x v="1"/>
  </r>
  <r>
    <x v="161"/>
    <x v="4"/>
    <x v="13"/>
    <x v="8"/>
    <x v="157"/>
    <n v="785"/>
    <x v="0"/>
    <x v="11"/>
    <x v="1"/>
  </r>
  <r>
    <x v="161"/>
    <x v="4"/>
    <x v="105"/>
    <x v="8"/>
    <x v="31"/>
    <n v="780"/>
    <x v="0"/>
    <x v="11"/>
    <x v="1"/>
  </r>
  <r>
    <x v="161"/>
    <x v="4"/>
    <x v="39"/>
    <x v="12"/>
    <x v="27"/>
    <n v="1625"/>
    <x v="0"/>
    <x v="11"/>
    <x v="1"/>
  </r>
  <r>
    <x v="161"/>
    <x v="4"/>
    <x v="5"/>
    <x v="1"/>
    <x v="2"/>
    <m/>
    <x v="385"/>
    <x v="11"/>
    <x v="1"/>
  </r>
  <r>
    <x v="161"/>
    <x v="4"/>
    <x v="33"/>
    <x v="4"/>
    <x v="21"/>
    <n v="4320"/>
    <x v="0"/>
    <x v="11"/>
    <x v="1"/>
  </r>
  <r>
    <x v="161"/>
    <x v="4"/>
    <x v="31"/>
    <x v="4"/>
    <x v="21"/>
    <n v="4320"/>
    <x v="0"/>
    <x v="11"/>
    <x v="1"/>
  </r>
  <r>
    <x v="161"/>
    <x v="4"/>
    <x v="35"/>
    <x v="0"/>
    <x v="21"/>
    <n v="864"/>
    <x v="0"/>
    <x v="11"/>
    <x v="1"/>
  </r>
  <r>
    <x v="161"/>
    <x v="4"/>
    <x v="32"/>
    <x v="3"/>
    <x v="22"/>
    <n v="2500"/>
    <x v="0"/>
    <x v="11"/>
    <x v="1"/>
  </r>
  <r>
    <x v="161"/>
    <x v="8"/>
    <x v="5"/>
    <x v="1"/>
    <x v="2"/>
    <m/>
    <x v="386"/>
    <x v="11"/>
    <x v="1"/>
  </r>
  <r>
    <x v="161"/>
    <x v="8"/>
    <x v="5"/>
    <x v="1"/>
    <x v="2"/>
    <m/>
    <x v="147"/>
    <x v="11"/>
    <x v="1"/>
  </r>
  <r>
    <x v="161"/>
    <x v="28"/>
    <x v="5"/>
    <x v="1"/>
    <x v="2"/>
    <m/>
    <x v="387"/>
    <x v="11"/>
    <x v="1"/>
  </r>
  <r>
    <x v="161"/>
    <x v="28"/>
    <x v="39"/>
    <x v="4"/>
    <x v="26"/>
    <n v="6600"/>
    <x v="0"/>
    <x v="11"/>
    <x v="1"/>
  </r>
  <r>
    <x v="161"/>
    <x v="28"/>
    <x v="7"/>
    <x v="12"/>
    <x v="118"/>
    <n v="2075"/>
    <x v="0"/>
    <x v="11"/>
    <x v="1"/>
  </r>
  <r>
    <x v="161"/>
    <x v="28"/>
    <x v="100"/>
    <x v="11"/>
    <x v="148"/>
    <n v="570"/>
    <x v="0"/>
    <x v="11"/>
    <x v="1"/>
  </r>
  <r>
    <x v="161"/>
    <x v="28"/>
    <x v="49"/>
    <x v="30"/>
    <x v="43"/>
    <n v="7600"/>
    <x v="0"/>
    <x v="11"/>
    <x v="1"/>
  </r>
  <r>
    <x v="161"/>
    <x v="8"/>
    <x v="5"/>
    <x v="1"/>
    <x v="2"/>
    <m/>
    <x v="277"/>
    <x v="11"/>
    <x v="1"/>
  </r>
  <r>
    <x v="161"/>
    <x v="11"/>
    <x v="5"/>
    <x v="1"/>
    <x v="2"/>
    <m/>
    <x v="154"/>
    <x v="11"/>
    <x v="1"/>
  </r>
  <r>
    <x v="161"/>
    <x v="11"/>
    <x v="39"/>
    <x v="17"/>
    <x v="26"/>
    <n v="13200"/>
    <x v="0"/>
    <x v="11"/>
    <x v="1"/>
  </r>
  <r>
    <x v="161"/>
    <x v="17"/>
    <x v="5"/>
    <x v="1"/>
    <x v="2"/>
    <m/>
    <x v="91"/>
    <x v="11"/>
    <x v="1"/>
  </r>
  <r>
    <x v="161"/>
    <x v="17"/>
    <x v="39"/>
    <x v="4"/>
    <x v="26"/>
    <n v="6600"/>
    <x v="0"/>
    <x v="11"/>
    <x v="1"/>
  </r>
  <r>
    <x v="161"/>
    <x v="25"/>
    <x v="5"/>
    <x v="1"/>
    <x v="2"/>
    <m/>
    <x v="84"/>
    <x v="11"/>
    <x v="1"/>
  </r>
  <r>
    <x v="161"/>
    <x v="25"/>
    <x v="62"/>
    <x v="3"/>
    <x v="59"/>
    <n v="2780"/>
    <x v="0"/>
    <x v="11"/>
    <x v="1"/>
  </r>
  <r>
    <x v="161"/>
    <x v="16"/>
    <x v="5"/>
    <x v="1"/>
    <x v="2"/>
    <m/>
    <x v="369"/>
    <x v="11"/>
    <x v="1"/>
  </r>
  <r>
    <x v="161"/>
    <x v="16"/>
    <x v="39"/>
    <x v="12"/>
    <x v="152"/>
    <n v="1575"/>
    <x v="0"/>
    <x v="11"/>
    <x v="1"/>
  </r>
  <r>
    <x v="161"/>
    <x v="59"/>
    <x v="5"/>
    <x v="1"/>
    <x v="2"/>
    <m/>
    <x v="388"/>
    <x v="11"/>
    <x v="1"/>
  </r>
  <r>
    <x v="161"/>
    <x v="59"/>
    <x v="39"/>
    <x v="24"/>
    <x v="27"/>
    <n v="32500"/>
    <x v="0"/>
    <x v="11"/>
    <x v="1"/>
  </r>
  <r>
    <x v="161"/>
    <x v="59"/>
    <x v="49"/>
    <x v="49"/>
    <x v="151"/>
    <n v="4250"/>
    <x v="0"/>
    <x v="11"/>
    <x v="1"/>
  </r>
  <r>
    <x v="161"/>
    <x v="59"/>
    <x v="49"/>
    <x v="49"/>
    <x v="47"/>
    <n v="4700"/>
    <x v="0"/>
    <x v="11"/>
    <x v="1"/>
  </r>
  <r>
    <x v="161"/>
    <x v="59"/>
    <x v="23"/>
    <x v="8"/>
    <x v="14"/>
    <n v="500"/>
    <x v="0"/>
    <x v="11"/>
    <x v="1"/>
  </r>
  <r>
    <x v="161"/>
    <x v="59"/>
    <x v="40"/>
    <x v="9"/>
    <x v="159"/>
    <n v="930"/>
    <x v="0"/>
    <x v="11"/>
    <x v="1"/>
  </r>
  <r>
    <x v="161"/>
    <x v="59"/>
    <x v="82"/>
    <x v="10"/>
    <x v="19"/>
    <n v="1360"/>
    <x v="0"/>
    <x v="11"/>
    <x v="1"/>
  </r>
  <r>
    <x v="162"/>
    <x v="18"/>
    <x v="5"/>
    <x v="1"/>
    <x v="2"/>
    <m/>
    <x v="389"/>
    <x v="11"/>
    <x v="1"/>
  </r>
  <r>
    <x v="162"/>
    <x v="18"/>
    <x v="39"/>
    <x v="20"/>
    <x v="68"/>
    <n v="16000"/>
    <x v="0"/>
    <x v="11"/>
    <x v="1"/>
  </r>
  <r>
    <x v="162"/>
    <x v="18"/>
    <x v="7"/>
    <x v="3"/>
    <x v="118"/>
    <n v="4150"/>
    <x v="0"/>
    <x v="11"/>
    <x v="1"/>
  </r>
  <r>
    <x v="162"/>
    <x v="18"/>
    <x v="95"/>
    <x v="45"/>
    <x v="4"/>
    <n v="2760"/>
    <x v="0"/>
    <x v="11"/>
    <x v="1"/>
  </r>
  <r>
    <x v="162"/>
    <x v="18"/>
    <x v="8"/>
    <x v="3"/>
    <x v="80"/>
    <n v="5300"/>
    <x v="0"/>
    <x v="11"/>
    <x v="1"/>
  </r>
  <r>
    <x v="162"/>
    <x v="15"/>
    <x v="5"/>
    <x v="1"/>
    <x v="2"/>
    <m/>
    <x v="270"/>
    <x v="11"/>
    <x v="1"/>
  </r>
  <r>
    <x v="162"/>
    <x v="15"/>
    <x v="49"/>
    <x v="30"/>
    <x v="47"/>
    <n v="7520"/>
    <x v="0"/>
    <x v="11"/>
    <x v="1"/>
  </r>
  <r>
    <x v="162"/>
    <x v="15"/>
    <x v="39"/>
    <x v="3"/>
    <x v="41"/>
    <n v="3280"/>
    <x v="0"/>
    <x v="11"/>
    <x v="1"/>
  </r>
  <r>
    <x v="162"/>
    <x v="15"/>
    <x v="5"/>
    <x v="1"/>
    <x v="2"/>
    <m/>
    <x v="390"/>
    <x v="11"/>
    <x v="1"/>
  </r>
  <r>
    <x v="162"/>
    <x v="15"/>
    <x v="8"/>
    <x v="12"/>
    <x v="11"/>
    <n v="2750"/>
    <x v="0"/>
    <x v="11"/>
    <x v="1"/>
  </r>
  <r>
    <x v="162"/>
    <x v="15"/>
    <x v="100"/>
    <x v="2"/>
    <x v="160"/>
    <n v="1080"/>
    <x v="0"/>
    <x v="11"/>
    <x v="1"/>
  </r>
  <r>
    <x v="162"/>
    <x v="15"/>
    <x v="5"/>
    <x v="1"/>
    <x v="2"/>
    <m/>
    <x v="291"/>
    <x v="11"/>
    <x v="1"/>
  </r>
  <r>
    <x v="162"/>
    <x v="15"/>
    <x v="4"/>
    <x v="3"/>
    <x v="94"/>
    <n v="1900"/>
    <x v="0"/>
    <x v="11"/>
    <x v="1"/>
  </r>
  <r>
    <x v="162"/>
    <x v="15"/>
    <x v="8"/>
    <x v="3"/>
    <x v="80"/>
    <n v="5300"/>
    <x v="0"/>
    <x v="11"/>
    <x v="1"/>
  </r>
  <r>
    <x v="162"/>
    <x v="21"/>
    <x v="5"/>
    <x v="1"/>
    <x v="2"/>
    <m/>
    <x v="391"/>
    <x v="11"/>
    <x v="1"/>
  </r>
  <r>
    <x v="162"/>
    <x v="21"/>
    <x v="39"/>
    <x v="3"/>
    <x v="26"/>
    <n v="3300"/>
    <x v="0"/>
    <x v="11"/>
    <x v="1"/>
  </r>
  <r>
    <x v="162"/>
    <x v="21"/>
    <x v="7"/>
    <x v="9"/>
    <x v="118"/>
    <n v="1245"/>
    <x v="0"/>
    <x v="11"/>
    <x v="1"/>
  </r>
  <r>
    <x v="162"/>
    <x v="21"/>
    <x v="24"/>
    <x v="9"/>
    <x v="15"/>
    <n v="1440"/>
    <x v="0"/>
    <x v="11"/>
    <x v="1"/>
  </r>
  <r>
    <x v="162"/>
    <x v="21"/>
    <x v="49"/>
    <x v="38"/>
    <x v="43"/>
    <n v="3800"/>
    <x v="0"/>
    <x v="11"/>
    <x v="1"/>
  </r>
  <r>
    <x v="162"/>
    <x v="21"/>
    <x v="4"/>
    <x v="12"/>
    <x v="94"/>
    <n v="950"/>
    <x v="0"/>
    <x v="11"/>
    <x v="1"/>
  </r>
  <r>
    <x v="162"/>
    <x v="28"/>
    <x v="5"/>
    <x v="1"/>
    <x v="2"/>
    <m/>
    <x v="279"/>
    <x v="11"/>
    <x v="1"/>
  </r>
  <r>
    <x v="162"/>
    <x v="28"/>
    <x v="91"/>
    <x v="0"/>
    <x v="116"/>
    <n v="2400"/>
    <x v="0"/>
    <x v="11"/>
    <x v="1"/>
  </r>
  <r>
    <x v="162"/>
    <x v="58"/>
    <x v="5"/>
    <x v="1"/>
    <x v="2"/>
    <m/>
    <x v="378"/>
    <x v="11"/>
    <x v="1"/>
  </r>
  <r>
    <x v="162"/>
    <x v="58"/>
    <x v="23"/>
    <x v="33"/>
    <x v="15"/>
    <n v="3360"/>
    <x v="0"/>
    <x v="11"/>
    <x v="1"/>
  </r>
  <r>
    <x v="162"/>
    <x v="12"/>
    <x v="5"/>
    <x v="1"/>
    <x v="2"/>
    <m/>
    <x v="392"/>
    <x v="11"/>
    <x v="1"/>
  </r>
  <r>
    <x v="162"/>
    <x v="12"/>
    <x v="24"/>
    <x v="9"/>
    <x v="15"/>
    <n v="1440"/>
    <x v="0"/>
    <x v="11"/>
    <x v="1"/>
  </r>
  <r>
    <x v="162"/>
    <x v="12"/>
    <x v="7"/>
    <x v="12"/>
    <x v="118"/>
    <n v="2075"/>
    <x v="0"/>
    <x v="11"/>
    <x v="1"/>
  </r>
  <r>
    <x v="162"/>
    <x v="12"/>
    <x v="9"/>
    <x v="12"/>
    <x v="118"/>
    <n v="2075"/>
    <x v="0"/>
    <x v="11"/>
    <x v="1"/>
  </r>
  <r>
    <x v="162"/>
    <x v="12"/>
    <x v="8"/>
    <x v="3"/>
    <x v="30"/>
    <n v="5350"/>
    <x v="0"/>
    <x v="11"/>
    <x v="1"/>
  </r>
  <r>
    <x v="163"/>
    <x v="60"/>
    <x v="5"/>
    <x v="1"/>
    <x v="2"/>
    <m/>
    <x v="393"/>
    <x v="11"/>
    <x v="1"/>
  </r>
  <r>
    <x v="163"/>
    <x v="60"/>
    <x v="39"/>
    <x v="14"/>
    <x v="26"/>
    <n v="4950"/>
    <x v="0"/>
    <x v="11"/>
    <x v="1"/>
  </r>
  <r>
    <x v="163"/>
    <x v="60"/>
    <x v="22"/>
    <x v="12"/>
    <x v="32"/>
    <n v="2600"/>
    <x v="0"/>
    <x v="11"/>
    <x v="1"/>
  </r>
  <r>
    <x v="163"/>
    <x v="60"/>
    <x v="21"/>
    <x v="37"/>
    <x v="66"/>
    <n v="8690"/>
    <x v="0"/>
    <x v="11"/>
    <x v="1"/>
  </r>
  <r>
    <x v="163"/>
    <x v="60"/>
    <x v="23"/>
    <x v="33"/>
    <x v="29"/>
    <n v="3430"/>
    <x v="0"/>
    <x v="11"/>
    <x v="1"/>
  </r>
  <r>
    <x v="163"/>
    <x v="60"/>
    <x v="25"/>
    <x v="12"/>
    <x v="128"/>
    <n v="3500"/>
    <x v="0"/>
    <x v="11"/>
    <x v="1"/>
  </r>
  <r>
    <x v="163"/>
    <x v="60"/>
    <x v="24"/>
    <x v="10"/>
    <x v="15"/>
    <n v="960"/>
    <x v="0"/>
    <x v="11"/>
    <x v="1"/>
  </r>
  <r>
    <x v="163"/>
    <x v="60"/>
    <x v="9"/>
    <x v="10"/>
    <x v="15"/>
    <n v="960"/>
    <x v="0"/>
    <x v="11"/>
    <x v="1"/>
  </r>
  <r>
    <x v="163"/>
    <x v="60"/>
    <x v="95"/>
    <x v="0"/>
    <x v="39"/>
    <n v="1400"/>
    <x v="0"/>
    <x v="11"/>
    <x v="1"/>
  </r>
  <r>
    <x v="163"/>
    <x v="60"/>
    <x v="49"/>
    <x v="38"/>
    <x v="43"/>
    <n v="3800"/>
    <x v="0"/>
    <x v="11"/>
    <x v="1"/>
  </r>
  <r>
    <x v="163"/>
    <x v="60"/>
    <x v="105"/>
    <x v="10"/>
    <x v="87"/>
    <n v="1720"/>
    <x v="0"/>
    <x v="11"/>
    <x v="1"/>
  </r>
  <r>
    <x v="163"/>
    <x v="60"/>
    <x v="5"/>
    <x v="1"/>
    <x v="2"/>
    <m/>
    <x v="394"/>
    <x v="11"/>
    <x v="1"/>
  </r>
  <r>
    <x v="163"/>
    <x v="60"/>
    <x v="12"/>
    <x v="74"/>
    <x v="7"/>
    <n v="11960"/>
    <x v="0"/>
    <x v="11"/>
    <x v="1"/>
  </r>
  <r>
    <x v="163"/>
    <x v="60"/>
    <x v="42"/>
    <x v="10"/>
    <x v="87"/>
    <n v="1720"/>
    <x v="0"/>
    <x v="11"/>
    <x v="1"/>
  </r>
  <r>
    <x v="163"/>
    <x v="60"/>
    <x v="64"/>
    <x v="9"/>
    <x v="9"/>
    <n v="1935"/>
    <x v="0"/>
    <x v="11"/>
    <x v="1"/>
  </r>
  <r>
    <x v="163"/>
    <x v="60"/>
    <x v="105"/>
    <x v="10"/>
    <x v="12"/>
    <n v="1080"/>
    <x v="0"/>
    <x v="11"/>
    <x v="1"/>
  </r>
  <r>
    <x v="163"/>
    <x v="60"/>
    <x v="17"/>
    <x v="8"/>
    <x v="161"/>
    <n v="845"/>
    <x v="0"/>
    <x v="11"/>
    <x v="1"/>
  </r>
  <r>
    <x v="163"/>
    <x v="60"/>
    <x v="18"/>
    <x v="8"/>
    <x v="161"/>
    <n v="845"/>
    <x v="0"/>
    <x v="11"/>
    <x v="1"/>
  </r>
  <r>
    <x v="163"/>
    <x v="60"/>
    <x v="100"/>
    <x v="2"/>
    <x v="148"/>
    <n v="1140"/>
    <x v="0"/>
    <x v="11"/>
    <x v="1"/>
  </r>
  <r>
    <x v="163"/>
    <x v="60"/>
    <x v="8"/>
    <x v="10"/>
    <x v="12"/>
    <n v="1080"/>
    <x v="0"/>
    <x v="11"/>
    <x v="1"/>
  </r>
  <r>
    <x v="163"/>
    <x v="60"/>
    <x v="19"/>
    <x v="12"/>
    <x v="9"/>
    <n v="3225"/>
    <x v="0"/>
    <x v="11"/>
    <x v="1"/>
  </r>
  <r>
    <x v="163"/>
    <x v="60"/>
    <x v="91"/>
    <x v="10"/>
    <x v="116"/>
    <n v="1200"/>
    <x v="0"/>
    <x v="11"/>
    <x v="1"/>
  </r>
  <r>
    <x v="163"/>
    <x v="60"/>
    <x v="63"/>
    <x v="8"/>
    <x v="162"/>
    <n v="425"/>
    <x v="0"/>
    <x v="11"/>
    <x v="1"/>
  </r>
  <r>
    <x v="163"/>
    <x v="8"/>
    <x v="5"/>
    <x v="1"/>
    <x v="2"/>
    <m/>
    <x v="395"/>
    <x v="11"/>
    <x v="1"/>
  </r>
  <r>
    <x v="163"/>
    <x v="15"/>
    <x v="5"/>
    <x v="1"/>
    <x v="2"/>
    <m/>
    <x v="396"/>
    <x v="11"/>
    <x v="1"/>
  </r>
  <r>
    <x v="163"/>
    <x v="15"/>
    <x v="49"/>
    <x v="26"/>
    <x v="143"/>
    <n v="5550"/>
    <x v="0"/>
    <x v="11"/>
    <x v="1"/>
  </r>
  <r>
    <x v="163"/>
    <x v="15"/>
    <x v="39"/>
    <x v="11"/>
    <x v="26"/>
    <n v="1980"/>
    <x v="0"/>
    <x v="11"/>
    <x v="1"/>
  </r>
  <r>
    <x v="163"/>
    <x v="15"/>
    <x v="8"/>
    <x v="8"/>
    <x v="30"/>
    <n v="535"/>
    <x v="0"/>
    <x v="11"/>
    <x v="1"/>
  </r>
  <r>
    <x v="163"/>
    <x v="15"/>
    <x v="82"/>
    <x v="8"/>
    <x v="163"/>
    <n v="685"/>
    <x v="0"/>
    <x v="11"/>
    <x v="1"/>
  </r>
  <r>
    <x v="163"/>
    <x v="1"/>
    <x v="5"/>
    <x v="1"/>
    <x v="2"/>
    <m/>
    <x v="397"/>
    <x v="11"/>
    <x v="1"/>
  </r>
  <r>
    <x v="163"/>
    <x v="1"/>
    <x v="7"/>
    <x v="0"/>
    <x v="118"/>
    <n v="1660"/>
    <x v="0"/>
    <x v="11"/>
    <x v="1"/>
  </r>
  <r>
    <x v="163"/>
    <x v="1"/>
    <x v="9"/>
    <x v="12"/>
    <x v="118"/>
    <n v="2075"/>
    <x v="0"/>
    <x v="11"/>
    <x v="1"/>
  </r>
  <r>
    <x v="163"/>
    <x v="1"/>
    <x v="95"/>
    <x v="59"/>
    <x v="4"/>
    <n v="5520"/>
    <x v="0"/>
    <x v="11"/>
    <x v="1"/>
  </r>
  <r>
    <x v="163"/>
    <x v="15"/>
    <x v="5"/>
    <x v="1"/>
    <x v="2"/>
    <m/>
    <x v="398"/>
    <x v="11"/>
    <x v="1"/>
  </r>
  <r>
    <x v="163"/>
    <x v="15"/>
    <x v="39"/>
    <x v="3"/>
    <x v="68"/>
    <n v="3200"/>
    <x v="0"/>
    <x v="11"/>
    <x v="1"/>
  </r>
  <r>
    <x v="163"/>
    <x v="15"/>
    <x v="56"/>
    <x v="12"/>
    <x v="18"/>
    <n v="1710"/>
    <x v="0"/>
    <x v="11"/>
    <x v="1"/>
  </r>
  <r>
    <x v="163"/>
    <x v="1"/>
    <x v="5"/>
    <x v="1"/>
    <x v="2"/>
    <m/>
    <x v="399"/>
    <x v="11"/>
    <x v="1"/>
  </r>
  <r>
    <x v="163"/>
    <x v="1"/>
    <x v="12"/>
    <x v="75"/>
    <x v="2"/>
    <n v="32000"/>
    <x v="0"/>
    <x v="11"/>
    <x v="1"/>
  </r>
  <r>
    <x v="163"/>
    <x v="1"/>
    <x v="39"/>
    <x v="24"/>
    <x v="68"/>
    <n v="32000"/>
    <x v="0"/>
    <x v="11"/>
    <x v="1"/>
  </r>
  <r>
    <x v="163"/>
    <x v="18"/>
    <x v="5"/>
    <x v="1"/>
    <x v="2"/>
    <m/>
    <x v="372"/>
    <x v="11"/>
    <x v="1"/>
  </r>
  <r>
    <x v="163"/>
    <x v="18"/>
    <x v="39"/>
    <x v="20"/>
    <x v="68"/>
    <n v="16000"/>
    <x v="0"/>
    <x v="11"/>
    <x v="1"/>
  </r>
  <r>
    <x v="164"/>
    <x v="15"/>
    <x v="5"/>
    <x v="1"/>
    <x v="2"/>
    <m/>
    <x v="400"/>
    <x v="11"/>
    <x v="1"/>
  </r>
  <r>
    <x v="164"/>
    <x v="15"/>
    <x v="91"/>
    <x v="12"/>
    <x v="164"/>
    <n v="2980"/>
    <x v="0"/>
    <x v="11"/>
    <x v="1"/>
  </r>
  <r>
    <x v="164"/>
    <x v="15"/>
    <x v="49"/>
    <x v="22"/>
    <x v="165"/>
    <n v="160"/>
    <x v="0"/>
    <x v="11"/>
    <x v="1"/>
  </r>
  <r>
    <x v="164"/>
    <x v="15"/>
    <x v="49"/>
    <x v="22"/>
    <x v="38"/>
    <n v="200"/>
    <x v="0"/>
    <x v="11"/>
    <x v="1"/>
  </r>
  <r>
    <x v="164"/>
    <x v="44"/>
    <x v="5"/>
    <x v="1"/>
    <x v="2"/>
    <m/>
    <x v="401"/>
    <x v="11"/>
    <x v="1"/>
  </r>
  <r>
    <x v="164"/>
    <x v="44"/>
    <x v="39"/>
    <x v="51"/>
    <x v="27"/>
    <n v="19500"/>
    <x v="0"/>
    <x v="11"/>
    <x v="1"/>
  </r>
  <r>
    <x v="164"/>
    <x v="44"/>
    <x v="8"/>
    <x v="12"/>
    <x v="30"/>
    <n v="2675"/>
    <x v="0"/>
    <x v="11"/>
    <x v="1"/>
  </r>
  <r>
    <x v="164"/>
    <x v="44"/>
    <x v="91"/>
    <x v="8"/>
    <x v="116"/>
    <n v="600"/>
    <x v="0"/>
    <x v="11"/>
    <x v="1"/>
  </r>
  <r>
    <x v="164"/>
    <x v="16"/>
    <x v="5"/>
    <x v="1"/>
    <x v="2"/>
    <m/>
    <x v="402"/>
    <x v="11"/>
    <x v="1"/>
  </r>
  <r>
    <x v="164"/>
    <x v="16"/>
    <x v="39"/>
    <x v="27"/>
    <x v="152"/>
    <n v="11025"/>
    <x v="0"/>
    <x v="11"/>
    <x v="1"/>
  </r>
  <r>
    <x v="164"/>
    <x v="16"/>
    <x v="49"/>
    <x v="40"/>
    <x v="143"/>
    <n v="9250"/>
    <x v="0"/>
    <x v="11"/>
    <x v="1"/>
  </r>
  <r>
    <x v="164"/>
    <x v="5"/>
    <x v="5"/>
    <x v="1"/>
    <x v="2"/>
    <m/>
    <x v="403"/>
    <x v="11"/>
    <x v="1"/>
  </r>
  <r>
    <x v="164"/>
    <x v="5"/>
    <x v="49"/>
    <x v="26"/>
    <x v="151"/>
    <n v="5100"/>
    <x v="0"/>
    <x v="11"/>
    <x v="1"/>
  </r>
  <r>
    <x v="164"/>
    <x v="5"/>
    <x v="49"/>
    <x v="43"/>
    <x v="43"/>
    <n v="1900"/>
    <x v="0"/>
    <x v="11"/>
    <x v="1"/>
  </r>
  <r>
    <x v="164"/>
    <x v="5"/>
    <x v="108"/>
    <x v="12"/>
    <x v="17"/>
    <n v="3150"/>
    <x v="0"/>
    <x v="11"/>
    <x v="1"/>
  </r>
  <r>
    <x v="164"/>
    <x v="5"/>
    <x v="90"/>
    <x v="8"/>
    <x v="17"/>
    <n v="630"/>
    <x v="0"/>
    <x v="11"/>
    <x v="1"/>
  </r>
  <r>
    <x v="164"/>
    <x v="5"/>
    <x v="39"/>
    <x v="4"/>
    <x v="26"/>
    <n v="6600"/>
    <x v="0"/>
    <x v="11"/>
    <x v="1"/>
  </r>
  <r>
    <x v="164"/>
    <x v="5"/>
    <x v="10"/>
    <x v="9"/>
    <x v="37"/>
    <n v="900"/>
    <x v="0"/>
    <x v="11"/>
    <x v="1"/>
  </r>
  <r>
    <x v="164"/>
    <x v="5"/>
    <x v="26"/>
    <x v="8"/>
    <x v="37"/>
    <n v="300"/>
    <x v="0"/>
    <x v="11"/>
    <x v="1"/>
  </r>
  <r>
    <x v="164"/>
    <x v="5"/>
    <x v="17"/>
    <x v="10"/>
    <x v="166"/>
    <n v="1215"/>
    <x v="0"/>
    <x v="11"/>
    <x v="1"/>
  </r>
  <r>
    <x v="164"/>
    <x v="5"/>
    <x v="57"/>
    <x v="9"/>
    <x v="15"/>
    <n v="1440"/>
    <x v="0"/>
    <x v="11"/>
    <x v="1"/>
  </r>
  <r>
    <x v="164"/>
    <x v="5"/>
    <x v="22"/>
    <x v="10"/>
    <x v="14"/>
    <n v="1000"/>
    <x v="0"/>
    <x v="11"/>
    <x v="1"/>
  </r>
  <r>
    <x v="164"/>
    <x v="5"/>
    <x v="5"/>
    <x v="1"/>
    <x v="2"/>
    <m/>
    <x v="404"/>
    <x v="11"/>
    <x v="1"/>
  </r>
  <r>
    <x v="164"/>
    <x v="5"/>
    <x v="21"/>
    <x v="0"/>
    <x v="31"/>
    <n v="3120"/>
    <x v="0"/>
    <x v="11"/>
    <x v="1"/>
  </r>
  <r>
    <x v="164"/>
    <x v="5"/>
    <x v="8"/>
    <x v="12"/>
    <x v="30"/>
    <n v="2675"/>
    <x v="0"/>
    <x v="11"/>
    <x v="1"/>
  </r>
  <r>
    <x v="164"/>
    <x v="42"/>
    <x v="5"/>
    <x v="1"/>
    <x v="2"/>
    <m/>
    <x v="405"/>
    <x v="11"/>
    <x v="1"/>
  </r>
  <r>
    <x v="164"/>
    <x v="42"/>
    <x v="85"/>
    <x v="18"/>
    <x v="129"/>
    <n v="12360"/>
    <x v="0"/>
    <x v="11"/>
    <x v="1"/>
  </r>
  <r>
    <x v="164"/>
    <x v="50"/>
    <x v="5"/>
    <x v="1"/>
    <x v="2"/>
    <m/>
    <x v="372"/>
    <x v="11"/>
    <x v="1"/>
  </r>
  <r>
    <x v="164"/>
    <x v="50"/>
    <x v="39"/>
    <x v="20"/>
    <x v="68"/>
    <n v="16000"/>
    <x v="0"/>
    <x v="11"/>
    <x v="1"/>
  </r>
  <r>
    <x v="164"/>
    <x v="15"/>
    <x v="5"/>
    <x v="1"/>
    <x v="2"/>
    <m/>
    <x v="153"/>
    <x v="11"/>
    <x v="1"/>
  </r>
  <r>
    <x v="164"/>
    <x v="15"/>
    <x v="95"/>
    <x v="2"/>
    <x v="4"/>
    <n v="4140"/>
    <x v="0"/>
    <x v="11"/>
    <x v="1"/>
  </r>
  <r>
    <x v="164"/>
    <x v="8"/>
    <x v="5"/>
    <x v="1"/>
    <x v="2"/>
    <m/>
    <x v="0"/>
    <x v="11"/>
    <x v="1"/>
  </r>
  <r>
    <x v="165"/>
    <x v="17"/>
    <x v="5"/>
    <x v="1"/>
    <x v="2"/>
    <m/>
    <x v="406"/>
    <x v="11"/>
    <x v="1"/>
  </r>
  <r>
    <x v="165"/>
    <x v="17"/>
    <x v="39"/>
    <x v="16"/>
    <x v="68"/>
    <n v="9600"/>
    <x v="0"/>
    <x v="11"/>
    <x v="1"/>
  </r>
  <r>
    <x v="165"/>
    <x v="18"/>
    <x v="5"/>
    <x v="1"/>
    <x v="2"/>
    <m/>
    <x v="231"/>
    <x v="11"/>
    <x v="1"/>
  </r>
  <r>
    <x v="165"/>
    <x v="18"/>
    <x v="95"/>
    <x v="0"/>
    <x v="4"/>
    <n v="1380"/>
    <x v="0"/>
    <x v="11"/>
    <x v="1"/>
  </r>
  <r>
    <x v="165"/>
    <x v="15"/>
    <x v="5"/>
    <x v="1"/>
    <x v="2"/>
    <m/>
    <x v="407"/>
    <x v="11"/>
    <x v="1"/>
  </r>
  <r>
    <x v="165"/>
    <x v="15"/>
    <x v="39"/>
    <x v="9"/>
    <x v="26"/>
    <n v="990"/>
    <x v="0"/>
    <x v="11"/>
    <x v="1"/>
  </r>
  <r>
    <x v="165"/>
    <x v="15"/>
    <x v="91"/>
    <x v="10"/>
    <x v="134"/>
    <n v="1190"/>
    <x v="0"/>
    <x v="11"/>
    <x v="1"/>
  </r>
  <r>
    <x v="166"/>
    <x v="4"/>
    <x v="5"/>
    <x v="1"/>
    <x v="2"/>
    <m/>
    <x v="408"/>
    <x v="11"/>
    <x v="1"/>
  </r>
  <r>
    <x v="166"/>
    <x v="4"/>
    <x v="21"/>
    <x v="8"/>
    <x v="28"/>
    <n v="800"/>
    <x v="0"/>
    <x v="11"/>
    <x v="1"/>
  </r>
  <r>
    <x v="166"/>
    <x v="4"/>
    <x v="39"/>
    <x v="3"/>
    <x v="26"/>
    <n v="3300"/>
    <x v="0"/>
    <x v="11"/>
    <x v="1"/>
  </r>
  <r>
    <x v="166"/>
    <x v="4"/>
    <x v="7"/>
    <x v="9"/>
    <x v="3"/>
    <n v="1260"/>
    <x v="0"/>
    <x v="11"/>
    <x v="1"/>
  </r>
  <r>
    <x v="166"/>
    <x v="4"/>
    <x v="9"/>
    <x v="9"/>
    <x v="3"/>
    <n v="1260"/>
    <x v="0"/>
    <x v="11"/>
    <x v="1"/>
  </r>
  <r>
    <x v="166"/>
    <x v="4"/>
    <x v="8"/>
    <x v="9"/>
    <x v="167"/>
    <n v="1630"/>
    <x v="0"/>
    <x v="11"/>
    <x v="1"/>
  </r>
  <r>
    <x v="166"/>
    <x v="4"/>
    <x v="90"/>
    <x v="10"/>
    <x v="23"/>
    <n v="1300"/>
    <x v="0"/>
    <x v="11"/>
    <x v="1"/>
  </r>
  <r>
    <x v="166"/>
    <x v="4"/>
    <x v="73"/>
    <x v="9"/>
    <x v="12"/>
    <n v="1620"/>
    <x v="0"/>
    <x v="11"/>
    <x v="1"/>
  </r>
  <r>
    <x v="166"/>
    <x v="4"/>
    <x v="23"/>
    <x v="10"/>
    <x v="52"/>
    <n v="1020"/>
    <x v="0"/>
    <x v="11"/>
    <x v="1"/>
  </r>
  <r>
    <x v="166"/>
    <x v="4"/>
    <x v="5"/>
    <x v="1"/>
    <x v="2"/>
    <m/>
    <x v="409"/>
    <x v="11"/>
    <x v="1"/>
  </r>
  <r>
    <x v="166"/>
    <x v="4"/>
    <x v="8"/>
    <x v="0"/>
    <x v="65"/>
    <n v="2180"/>
    <x v="0"/>
    <x v="11"/>
    <x v="1"/>
  </r>
  <r>
    <x v="166"/>
    <x v="4"/>
    <x v="23"/>
    <x v="8"/>
    <x v="29"/>
    <n v="490"/>
    <x v="0"/>
    <x v="11"/>
    <x v="1"/>
  </r>
  <r>
    <x v="166"/>
    <x v="4"/>
    <x v="5"/>
    <x v="1"/>
    <x v="2"/>
    <m/>
    <x v="410"/>
    <x v="11"/>
    <x v="1"/>
  </r>
  <r>
    <x v="166"/>
    <x v="4"/>
    <x v="39"/>
    <x v="8"/>
    <x v="34"/>
    <n v="340"/>
    <x v="0"/>
    <x v="11"/>
    <x v="1"/>
  </r>
  <r>
    <x v="166"/>
    <x v="4"/>
    <x v="49"/>
    <x v="35"/>
    <x v="38"/>
    <n v="400"/>
    <x v="0"/>
    <x v="11"/>
    <x v="1"/>
  </r>
  <r>
    <x v="166"/>
    <x v="4"/>
    <x v="8"/>
    <x v="8"/>
    <x v="11"/>
    <n v="550"/>
    <x v="0"/>
    <x v="11"/>
    <x v="1"/>
  </r>
  <r>
    <x v="166"/>
    <x v="4"/>
    <x v="5"/>
    <x v="1"/>
    <x v="2"/>
    <m/>
    <x v="365"/>
    <x v="11"/>
    <x v="1"/>
  </r>
  <r>
    <x v="166"/>
    <x v="4"/>
    <x v="4"/>
    <x v="14"/>
    <x v="57"/>
    <n v="3150"/>
    <x v="0"/>
    <x v="11"/>
    <x v="1"/>
  </r>
  <r>
    <x v="166"/>
    <x v="4"/>
    <x v="4"/>
    <x v="10"/>
    <x v="94"/>
    <m/>
    <x v="0"/>
    <x v="11"/>
    <x v="1"/>
  </r>
  <r>
    <x v="166"/>
    <x v="4"/>
    <x v="5"/>
    <x v="1"/>
    <x v="2"/>
    <m/>
    <x v="411"/>
    <x v="11"/>
    <x v="1"/>
  </r>
  <r>
    <x v="166"/>
    <x v="4"/>
    <x v="39"/>
    <x v="27"/>
    <x v="26"/>
    <n v="11550"/>
    <x v="0"/>
    <x v="11"/>
    <x v="1"/>
  </r>
  <r>
    <x v="166"/>
    <x v="4"/>
    <x v="8"/>
    <x v="11"/>
    <x v="168"/>
    <n v="3282"/>
    <x v="0"/>
    <x v="11"/>
    <x v="1"/>
  </r>
  <r>
    <x v="166"/>
    <x v="4"/>
    <x v="26"/>
    <x v="8"/>
    <x v="11"/>
    <n v="550"/>
    <x v="0"/>
    <x v="11"/>
    <x v="1"/>
  </r>
  <r>
    <x v="166"/>
    <x v="4"/>
    <x v="76"/>
    <x v="8"/>
    <x v="139"/>
    <n v="660"/>
    <x v="0"/>
    <x v="11"/>
    <x v="1"/>
  </r>
  <r>
    <x v="166"/>
    <x v="4"/>
    <x v="42"/>
    <x v="8"/>
    <x v="169"/>
    <n v="870"/>
    <x v="0"/>
    <x v="11"/>
    <x v="1"/>
  </r>
  <r>
    <x v="166"/>
    <x v="4"/>
    <x v="21"/>
    <x v="8"/>
    <x v="28"/>
    <n v="800"/>
    <x v="0"/>
    <x v="11"/>
    <x v="1"/>
  </r>
  <r>
    <x v="166"/>
    <x v="4"/>
    <x v="23"/>
    <x v="8"/>
    <x v="52"/>
    <n v="510"/>
    <x v="0"/>
    <x v="11"/>
    <x v="1"/>
  </r>
  <r>
    <x v="166"/>
    <x v="4"/>
    <x v="5"/>
    <x v="1"/>
    <x v="2"/>
    <m/>
    <x v="412"/>
    <x v="11"/>
    <x v="1"/>
  </r>
  <r>
    <x v="166"/>
    <x v="4"/>
    <x v="30"/>
    <x v="10"/>
    <x v="11"/>
    <n v="1100"/>
    <x v="0"/>
    <x v="11"/>
    <x v="1"/>
  </r>
  <r>
    <x v="166"/>
    <x v="4"/>
    <x v="10"/>
    <x v="10"/>
    <x v="11"/>
    <n v="1100"/>
    <x v="0"/>
    <x v="11"/>
    <x v="1"/>
  </r>
  <r>
    <x v="166"/>
    <x v="4"/>
    <x v="25"/>
    <x v="10"/>
    <x v="170"/>
    <n v="1420"/>
    <x v="0"/>
    <x v="11"/>
    <x v="1"/>
  </r>
  <r>
    <x v="166"/>
    <x v="4"/>
    <x v="64"/>
    <x v="8"/>
    <x v="169"/>
    <n v="870"/>
    <x v="0"/>
    <x v="11"/>
    <x v="1"/>
  </r>
  <r>
    <x v="166"/>
    <x v="4"/>
    <x v="22"/>
    <x v="8"/>
    <x v="52"/>
    <n v="510"/>
    <x v="0"/>
    <x v="11"/>
    <x v="1"/>
  </r>
  <r>
    <x v="166"/>
    <x v="4"/>
    <x v="95"/>
    <x v="59"/>
    <x v="39"/>
    <n v="5600"/>
    <x v="0"/>
    <x v="11"/>
    <x v="1"/>
  </r>
  <r>
    <x v="166"/>
    <x v="8"/>
    <x v="5"/>
    <x v="1"/>
    <x v="2"/>
    <m/>
    <x v="413"/>
    <x v="11"/>
    <x v="1"/>
  </r>
  <r>
    <x v="166"/>
    <x v="8"/>
    <x v="5"/>
    <x v="1"/>
    <x v="2"/>
    <m/>
    <x v="414"/>
    <x v="11"/>
    <x v="1"/>
  </r>
  <r>
    <x v="166"/>
    <x v="4"/>
    <x v="5"/>
    <x v="1"/>
    <x v="2"/>
    <m/>
    <x v="415"/>
    <x v="11"/>
    <x v="1"/>
  </r>
  <r>
    <x v="166"/>
    <x v="4"/>
    <x v="49"/>
    <x v="62"/>
    <x v="143"/>
    <n v="740"/>
    <x v="0"/>
    <x v="11"/>
    <x v="1"/>
  </r>
  <r>
    <x v="166"/>
    <x v="4"/>
    <x v="8"/>
    <x v="11"/>
    <x v="12"/>
    <n v="3240"/>
    <x v="0"/>
    <x v="11"/>
    <x v="1"/>
  </r>
  <r>
    <x v="166"/>
    <x v="4"/>
    <x v="30"/>
    <x v="10"/>
    <x v="11"/>
    <n v="1100"/>
    <x v="0"/>
    <x v="11"/>
    <x v="1"/>
  </r>
  <r>
    <x v="166"/>
    <x v="4"/>
    <x v="17"/>
    <x v="8"/>
    <x v="11"/>
    <n v="550"/>
    <x v="0"/>
    <x v="11"/>
    <x v="1"/>
  </r>
  <r>
    <x v="166"/>
    <x v="4"/>
    <x v="73"/>
    <x v="8"/>
    <x v="11"/>
    <n v="550"/>
    <x v="0"/>
    <x v="11"/>
    <x v="1"/>
  </r>
  <r>
    <x v="166"/>
    <x v="4"/>
    <x v="76"/>
    <x v="8"/>
    <x v="23"/>
    <n v="650"/>
    <x v="0"/>
    <x v="11"/>
    <x v="1"/>
  </r>
  <r>
    <x v="166"/>
    <x v="4"/>
    <x v="95"/>
    <x v="45"/>
    <x v="39"/>
    <n v="2800"/>
    <x v="0"/>
    <x v="11"/>
    <x v="1"/>
  </r>
  <r>
    <x v="166"/>
    <x v="8"/>
    <x v="5"/>
    <x v="1"/>
    <x v="2"/>
    <m/>
    <x v="416"/>
    <x v="11"/>
    <x v="1"/>
  </r>
  <r>
    <x v="166"/>
    <x v="4"/>
    <x v="5"/>
    <x v="1"/>
    <x v="2"/>
    <m/>
    <x v="417"/>
    <x v="11"/>
    <x v="1"/>
  </r>
  <r>
    <x v="166"/>
    <x v="4"/>
    <x v="39"/>
    <x v="8"/>
    <x v="34"/>
    <n v="340"/>
    <x v="0"/>
    <x v="11"/>
    <x v="1"/>
  </r>
  <r>
    <x v="166"/>
    <x v="4"/>
    <x v="49"/>
    <x v="22"/>
    <x v="38"/>
    <n v="200"/>
    <x v="0"/>
    <x v="11"/>
    <x v="1"/>
  </r>
  <r>
    <x v="166"/>
    <x v="4"/>
    <x v="33"/>
    <x v="8"/>
    <x v="51"/>
    <n v="215"/>
    <x v="0"/>
    <x v="11"/>
    <x v="1"/>
  </r>
  <r>
    <x v="166"/>
    <x v="4"/>
    <x v="49"/>
    <x v="22"/>
    <x v="43"/>
    <n v="190"/>
    <x v="0"/>
    <x v="11"/>
    <x v="1"/>
  </r>
  <r>
    <x v="166"/>
    <x v="4"/>
    <x v="49"/>
    <x v="62"/>
    <x v="43"/>
    <n v="760"/>
    <x v="0"/>
    <x v="11"/>
    <x v="1"/>
  </r>
  <r>
    <x v="166"/>
    <x v="4"/>
    <x v="49"/>
    <x v="22"/>
    <x v="38"/>
    <n v="200"/>
    <x v="0"/>
    <x v="11"/>
    <x v="1"/>
  </r>
  <r>
    <x v="166"/>
    <x v="4"/>
    <x v="10"/>
    <x v="8"/>
    <x v="65"/>
    <n v="545"/>
    <x v="0"/>
    <x v="11"/>
    <x v="1"/>
  </r>
  <r>
    <x v="167"/>
    <x v="26"/>
    <x v="5"/>
    <x v="1"/>
    <x v="2"/>
    <m/>
    <x v="418"/>
    <x v="11"/>
    <x v="1"/>
  </r>
  <r>
    <x v="167"/>
    <x v="26"/>
    <x v="49"/>
    <x v="76"/>
    <x v="143"/>
    <n v="8325"/>
    <x v="0"/>
    <x v="11"/>
    <x v="1"/>
  </r>
  <r>
    <x v="167"/>
    <x v="26"/>
    <x v="39"/>
    <x v="4"/>
    <x v="27"/>
    <n v="6500"/>
    <x v="0"/>
    <x v="11"/>
    <x v="1"/>
  </r>
  <r>
    <x v="167"/>
    <x v="26"/>
    <x v="22"/>
    <x v="12"/>
    <x v="14"/>
    <n v="2500"/>
    <x v="0"/>
    <x v="11"/>
    <x v="1"/>
  </r>
  <r>
    <x v="167"/>
    <x v="26"/>
    <x v="25"/>
    <x v="10"/>
    <x v="128"/>
    <n v="1400"/>
    <x v="0"/>
    <x v="11"/>
    <x v="1"/>
  </r>
  <r>
    <x v="167"/>
    <x v="26"/>
    <x v="23"/>
    <x v="9"/>
    <x v="29"/>
    <n v="1470"/>
    <x v="0"/>
    <x v="11"/>
    <x v="1"/>
  </r>
  <r>
    <x v="167"/>
    <x v="26"/>
    <x v="8"/>
    <x v="12"/>
    <x v="12"/>
    <n v="2700"/>
    <x v="0"/>
    <x v="11"/>
    <x v="1"/>
  </r>
  <r>
    <x v="167"/>
    <x v="26"/>
    <x v="95"/>
    <x v="45"/>
    <x v="4"/>
    <n v="2760"/>
    <x v="0"/>
    <x v="11"/>
    <x v="1"/>
  </r>
  <r>
    <x v="167"/>
    <x v="26"/>
    <x v="21"/>
    <x v="9"/>
    <x v="31"/>
    <n v="2340"/>
    <x v="0"/>
    <x v="11"/>
    <x v="1"/>
  </r>
  <r>
    <x v="167"/>
    <x v="18"/>
    <x v="5"/>
    <x v="1"/>
    <x v="2"/>
    <m/>
    <x v="419"/>
    <x v="11"/>
    <x v="1"/>
  </r>
  <r>
    <x v="167"/>
    <x v="18"/>
    <x v="39"/>
    <x v="3"/>
    <x v="68"/>
    <n v="3200"/>
    <x v="0"/>
    <x v="11"/>
    <x v="1"/>
  </r>
  <r>
    <x v="167"/>
    <x v="18"/>
    <x v="8"/>
    <x v="4"/>
    <x v="80"/>
    <n v="10600"/>
    <x v="0"/>
    <x v="11"/>
    <x v="1"/>
  </r>
  <r>
    <x v="167"/>
    <x v="18"/>
    <x v="60"/>
    <x v="37"/>
    <x v="53"/>
    <n v="2915"/>
    <x v="0"/>
    <x v="11"/>
    <x v="1"/>
  </r>
  <r>
    <x v="167"/>
    <x v="15"/>
    <x v="5"/>
    <x v="1"/>
    <x v="2"/>
    <m/>
    <x v="420"/>
    <x v="11"/>
    <x v="1"/>
  </r>
  <r>
    <x v="167"/>
    <x v="15"/>
    <x v="49"/>
    <x v="77"/>
    <x v="43"/>
    <n v="1140"/>
    <x v="0"/>
    <x v="11"/>
    <x v="1"/>
  </r>
  <r>
    <x v="168"/>
    <x v="5"/>
    <x v="5"/>
    <x v="1"/>
    <x v="2"/>
    <m/>
    <x v="421"/>
    <x v="11"/>
    <x v="1"/>
  </r>
  <r>
    <x v="168"/>
    <x v="5"/>
    <x v="49"/>
    <x v="78"/>
    <x v="151"/>
    <n v="3230"/>
    <x v="0"/>
    <x v="11"/>
    <x v="1"/>
  </r>
  <r>
    <x v="168"/>
    <x v="5"/>
    <x v="39"/>
    <x v="4"/>
    <x v="26"/>
    <n v="6600"/>
    <x v="0"/>
    <x v="11"/>
    <x v="1"/>
  </r>
  <r>
    <x v="168"/>
    <x v="14"/>
    <x v="5"/>
    <x v="1"/>
    <x v="2"/>
    <m/>
    <x v="422"/>
    <x v="11"/>
    <x v="1"/>
  </r>
  <r>
    <x v="168"/>
    <x v="14"/>
    <x v="39"/>
    <x v="79"/>
    <x v="68"/>
    <n v="31360"/>
    <x v="0"/>
    <x v="11"/>
    <x v="1"/>
  </r>
  <r>
    <x v="168"/>
    <x v="18"/>
    <x v="5"/>
    <x v="1"/>
    <x v="2"/>
    <m/>
    <x v="374"/>
    <x v="11"/>
    <x v="1"/>
  </r>
  <r>
    <x v="168"/>
    <x v="18"/>
    <x v="39"/>
    <x v="3"/>
    <x v="68"/>
    <n v="3200"/>
    <x v="0"/>
    <x v="11"/>
    <x v="1"/>
  </r>
  <r>
    <x v="168"/>
    <x v="4"/>
    <x v="5"/>
    <x v="1"/>
    <x v="2"/>
    <m/>
    <x v="20"/>
    <x v="11"/>
    <x v="1"/>
  </r>
  <r>
    <x v="168"/>
    <x v="4"/>
    <x v="39"/>
    <x v="3"/>
    <x v="26"/>
    <n v="3300"/>
    <x v="0"/>
    <x v="11"/>
    <x v="1"/>
  </r>
  <r>
    <x v="168"/>
    <x v="4"/>
    <x v="5"/>
    <x v="1"/>
    <x v="2"/>
    <m/>
    <x v="74"/>
    <x v="11"/>
    <x v="1"/>
  </r>
  <r>
    <x v="168"/>
    <x v="4"/>
    <x v="39"/>
    <x v="12"/>
    <x v="26"/>
    <n v="1650"/>
    <x v="0"/>
    <x v="11"/>
    <x v="1"/>
  </r>
  <r>
    <x v="168"/>
    <x v="4"/>
    <x v="5"/>
    <x v="1"/>
    <x v="2"/>
    <m/>
    <x v="243"/>
    <x v="11"/>
    <x v="1"/>
  </r>
  <r>
    <x v="168"/>
    <x v="4"/>
    <x v="7"/>
    <x v="10"/>
    <x v="3"/>
    <n v="840"/>
    <x v="0"/>
    <x v="11"/>
    <x v="1"/>
  </r>
  <r>
    <x v="168"/>
    <x v="4"/>
    <x v="9"/>
    <x v="10"/>
    <x v="3"/>
    <n v="840"/>
    <x v="0"/>
    <x v="11"/>
    <x v="1"/>
  </r>
  <r>
    <x v="168"/>
    <x v="15"/>
    <x v="5"/>
    <x v="1"/>
    <x v="2"/>
    <m/>
    <x v="423"/>
    <x v="11"/>
    <x v="1"/>
  </r>
  <r>
    <x v="168"/>
    <x v="15"/>
    <x v="49"/>
    <x v="22"/>
    <x v="38"/>
    <n v="200"/>
    <x v="0"/>
    <x v="11"/>
    <x v="1"/>
  </r>
  <r>
    <x v="168"/>
    <x v="15"/>
    <x v="5"/>
    <x v="1"/>
    <x v="2"/>
    <m/>
    <x v="424"/>
    <x v="11"/>
    <x v="1"/>
  </r>
  <r>
    <x v="168"/>
    <x v="15"/>
    <x v="74"/>
    <x v="9"/>
    <x v="23"/>
    <n v="1950"/>
    <x v="0"/>
    <x v="11"/>
    <x v="1"/>
  </r>
  <r>
    <x v="168"/>
    <x v="15"/>
    <x v="24"/>
    <x v="10"/>
    <x v="15"/>
    <n v="960"/>
    <x v="0"/>
    <x v="11"/>
    <x v="1"/>
  </r>
  <r>
    <x v="168"/>
    <x v="15"/>
    <x v="49"/>
    <x v="26"/>
    <x v="47"/>
    <n v="5640"/>
    <x v="0"/>
    <x v="11"/>
    <x v="1"/>
  </r>
  <r>
    <x v="168"/>
    <x v="15"/>
    <x v="4"/>
    <x v="12"/>
    <x v="94"/>
    <n v="950"/>
    <x v="0"/>
    <x v="11"/>
    <x v="1"/>
  </r>
  <r>
    <x v="168"/>
    <x v="15"/>
    <x v="49"/>
    <x v="43"/>
    <x v="151"/>
    <n v="1700"/>
    <x v="0"/>
    <x v="11"/>
    <x v="1"/>
  </r>
  <r>
    <x v="168"/>
    <x v="15"/>
    <x v="5"/>
    <x v="1"/>
    <x v="2"/>
    <m/>
    <x v="142"/>
    <x v="11"/>
    <x v="1"/>
  </r>
  <r>
    <x v="168"/>
    <x v="15"/>
    <x v="4"/>
    <x v="14"/>
    <x v="57"/>
    <n v="3150"/>
    <x v="0"/>
    <x v="11"/>
    <x v="1"/>
  </r>
  <r>
    <x v="168"/>
    <x v="15"/>
    <x v="4"/>
    <x v="10"/>
    <x v="94"/>
    <m/>
    <x v="0"/>
    <x v="11"/>
    <x v="1"/>
  </r>
  <r>
    <x v="168"/>
    <x v="8"/>
    <x v="5"/>
    <x v="1"/>
    <x v="2"/>
    <m/>
    <x v="425"/>
    <x v="11"/>
    <x v="1"/>
  </r>
  <r>
    <x v="168"/>
    <x v="61"/>
    <x v="5"/>
    <x v="1"/>
    <x v="2"/>
    <m/>
    <x v="426"/>
    <x v="11"/>
    <x v="1"/>
  </r>
  <r>
    <x v="168"/>
    <x v="61"/>
    <x v="39"/>
    <x v="12"/>
    <x v="6"/>
    <n v="1675"/>
    <x v="0"/>
    <x v="11"/>
    <x v="1"/>
  </r>
  <r>
    <x v="168"/>
    <x v="61"/>
    <x v="49"/>
    <x v="35"/>
    <x v="43"/>
    <n v="380"/>
    <x v="0"/>
    <x v="11"/>
    <x v="1"/>
  </r>
  <r>
    <x v="168"/>
    <x v="54"/>
    <x v="5"/>
    <x v="1"/>
    <x v="2"/>
    <m/>
    <x v="226"/>
    <x v="11"/>
    <x v="1"/>
  </r>
  <r>
    <x v="168"/>
    <x v="54"/>
    <x v="39"/>
    <x v="3"/>
    <x v="6"/>
    <n v="3350"/>
    <x v="0"/>
    <x v="11"/>
    <x v="1"/>
  </r>
  <r>
    <x v="168"/>
    <x v="54"/>
    <x v="49"/>
    <x v="43"/>
    <x v="43"/>
    <n v="1900"/>
    <x v="0"/>
    <x v="11"/>
    <x v="1"/>
  </r>
  <r>
    <x v="168"/>
    <x v="58"/>
    <x v="5"/>
    <x v="1"/>
    <x v="2"/>
    <m/>
    <x v="427"/>
    <x v="11"/>
    <x v="1"/>
  </r>
  <r>
    <x v="168"/>
    <x v="58"/>
    <x v="39"/>
    <x v="20"/>
    <x v="68"/>
    <n v="16000"/>
    <x v="0"/>
    <x v="11"/>
    <x v="1"/>
  </r>
  <r>
    <x v="168"/>
    <x v="58"/>
    <x v="8"/>
    <x v="3"/>
    <x v="12"/>
    <n v="5400"/>
    <x v="0"/>
    <x v="11"/>
    <x v="1"/>
  </r>
  <r>
    <x v="168"/>
    <x v="9"/>
    <x v="5"/>
    <x v="1"/>
    <x v="2"/>
    <m/>
    <x v="428"/>
    <x v="11"/>
    <x v="1"/>
  </r>
  <r>
    <x v="168"/>
    <x v="9"/>
    <x v="18"/>
    <x v="12"/>
    <x v="8"/>
    <n v="3750"/>
    <x v="0"/>
    <x v="11"/>
    <x v="1"/>
  </r>
  <r>
    <x v="168"/>
    <x v="9"/>
    <x v="90"/>
    <x v="12"/>
    <x v="23"/>
    <n v="3250"/>
    <x v="0"/>
    <x v="11"/>
    <x v="1"/>
  </r>
  <r>
    <x v="168"/>
    <x v="9"/>
    <x v="49"/>
    <x v="80"/>
    <x v="43"/>
    <n v="1330"/>
    <x v="0"/>
    <x v="11"/>
    <x v="1"/>
  </r>
  <r>
    <x v="168"/>
    <x v="9"/>
    <x v="64"/>
    <x v="8"/>
    <x v="171"/>
    <n v="855"/>
    <x v="0"/>
    <x v="11"/>
    <x v="1"/>
  </r>
  <r>
    <x v="168"/>
    <x v="9"/>
    <x v="10"/>
    <x v="8"/>
    <x v="12"/>
    <n v="540"/>
    <x v="0"/>
    <x v="11"/>
    <x v="1"/>
  </r>
  <r>
    <x v="168"/>
    <x v="23"/>
    <x v="5"/>
    <x v="1"/>
    <x v="2"/>
    <m/>
    <x v="153"/>
    <x v="11"/>
    <x v="1"/>
  </r>
  <r>
    <x v="168"/>
    <x v="23"/>
    <x v="49"/>
    <x v="26"/>
    <x v="151"/>
    <n v="5100"/>
    <x v="0"/>
    <x v="11"/>
    <x v="1"/>
  </r>
  <r>
    <x v="168"/>
    <x v="14"/>
    <x v="5"/>
    <x v="1"/>
    <x v="2"/>
    <m/>
    <x v="429"/>
    <x v="11"/>
    <x v="1"/>
  </r>
  <r>
    <x v="168"/>
    <x v="14"/>
    <x v="49"/>
    <x v="40"/>
    <x v="143"/>
    <n v="9250"/>
    <x v="0"/>
    <x v="11"/>
    <x v="1"/>
  </r>
  <r>
    <x v="169"/>
    <x v="18"/>
    <x v="5"/>
    <x v="1"/>
    <x v="2"/>
    <m/>
    <x v="430"/>
    <x v="11"/>
    <x v="1"/>
  </r>
  <r>
    <x v="169"/>
    <x v="18"/>
    <x v="7"/>
    <x v="10"/>
    <x v="118"/>
    <n v="830"/>
    <x v="0"/>
    <x v="11"/>
    <x v="1"/>
  </r>
  <r>
    <x v="169"/>
    <x v="18"/>
    <x v="5"/>
    <x v="1"/>
    <x v="2"/>
    <m/>
    <x v="431"/>
    <x v="11"/>
    <x v="1"/>
  </r>
  <r>
    <x v="169"/>
    <x v="18"/>
    <x v="39"/>
    <x v="24"/>
    <x v="68"/>
    <n v="32000"/>
    <x v="0"/>
    <x v="11"/>
    <x v="1"/>
  </r>
  <r>
    <x v="169"/>
    <x v="18"/>
    <x v="7"/>
    <x v="14"/>
    <x v="118"/>
    <n v="6225"/>
    <x v="0"/>
    <x v="11"/>
    <x v="1"/>
  </r>
  <r>
    <x v="169"/>
    <x v="18"/>
    <x v="9"/>
    <x v="11"/>
    <x v="118"/>
    <n v="2490"/>
    <x v="0"/>
    <x v="11"/>
    <x v="1"/>
  </r>
  <r>
    <x v="169"/>
    <x v="1"/>
    <x v="5"/>
    <x v="1"/>
    <x v="2"/>
    <m/>
    <x v="432"/>
    <x v="11"/>
    <x v="1"/>
  </r>
  <r>
    <x v="169"/>
    <x v="1"/>
    <x v="39"/>
    <x v="24"/>
    <x v="68"/>
    <n v="32000"/>
    <x v="0"/>
    <x v="11"/>
    <x v="1"/>
  </r>
  <r>
    <x v="169"/>
    <x v="1"/>
    <x v="49"/>
    <x v="26"/>
    <x v="143"/>
    <n v="5550"/>
    <x v="0"/>
    <x v="11"/>
    <x v="1"/>
  </r>
  <r>
    <x v="169"/>
    <x v="1"/>
    <x v="7"/>
    <x v="4"/>
    <x v="118"/>
    <n v="8300"/>
    <x v="0"/>
    <x v="11"/>
    <x v="1"/>
  </r>
  <r>
    <x v="169"/>
    <x v="1"/>
    <x v="9"/>
    <x v="3"/>
    <x v="118"/>
    <n v="4150"/>
    <x v="0"/>
    <x v="11"/>
    <x v="1"/>
  </r>
  <r>
    <x v="169"/>
    <x v="1"/>
    <x v="95"/>
    <x v="0"/>
    <x v="4"/>
    <n v="1380"/>
    <x v="0"/>
    <x v="11"/>
    <x v="1"/>
  </r>
  <r>
    <x v="169"/>
    <x v="17"/>
    <x v="5"/>
    <x v="1"/>
    <x v="2"/>
    <m/>
    <x v="433"/>
    <x v="11"/>
    <x v="1"/>
  </r>
  <r>
    <x v="169"/>
    <x v="17"/>
    <x v="39"/>
    <x v="16"/>
    <x v="68"/>
    <n v="9600"/>
    <x v="0"/>
    <x v="11"/>
    <x v="1"/>
  </r>
  <r>
    <x v="169"/>
    <x v="17"/>
    <x v="49"/>
    <x v="81"/>
    <x v="172"/>
    <n v="6405"/>
    <x v="0"/>
    <x v="11"/>
    <x v="1"/>
  </r>
  <r>
    <x v="169"/>
    <x v="17"/>
    <x v="49"/>
    <x v="38"/>
    <x v="151"/>
    <n v="3400"/>
    <x v="0"/>
    <x v="11"/>
    <x v="1"/>
  </r>
  <r>
    <x v="170"/>
    <x v="44"/>
    <x v="5"/>
    <x v="1"/>
    <x v="2"/>
    <m/>
    <x v="434"/>
    <x v="11"/>
    <x v="1"/>
  </r>
  <r>
    <x v="170"/>
    <x v="44"/>
    <x v="39"/>
    <x v="56"/>
    <x v="27"/>
    <n v="26000"/>
    <x v="0"/>
    <x v="11"/>
    <x v="1"/>
  </r>
  <r>
    <x v="170"/>
    <x v="44"/>
    <x v="8"/>
    <x v="3"/>
    <x v="30"/>
    <n v="5350"/>
    <x v="0"/>
    <x v="11"/>
    <x v="1"/>
  </r>
  <r>
    <x v="171"/>
    <x v="31"/>
    <x v="5"/>
    <x v="1"/>
    <x v="2"/>
    <m/>
    <x v="435"/>
    <x v="11"/>
    <x v="1"/>
  </r>
  <r>
    <x v="171"/>
    <x v="31"/>
    <x v="68"/>
    <x v="11"/>
    <x v="123"/>
    <n v="3276"/>
    <x v="0"/>
    <x v="11"/>
    <x v="1"/>
  </r>
  <r>
    <x v="171"/>
    <x v="31"/>
    <x v="62"/>
    <x v="3"/>
    <x v="59"/>
    <n v="2780"/>
    <x v="0"/>
    <x v="11"/>
    <x v="1"/>
  </r>
  <r>
    <x v="171"/>
    <x v="31"/>
    <x v="78"/>
    <x v="3"/>
    <x v="130"/>
    <n v="1180"/>
    <x v="0"/>
    <x v="11"/>
    <x v="1"/>
  </r>
  <r>
    <x v="171"/>
    <x v="21"/>
    <x v="5"/>
    <x v="1"/>
    <x v="2"/>
    <m/>
    <x v="91"/>
    <x v="11"/>
    <x v="1"/>
  </r>
  <r>
    <x v="171"/>
    <x v="21"/>
    <x v="39"/>
    <x v="4"/>
    <x v="26"/>
    <n v="6600"/>
    <x v="0"/>
    <x v="11"/>
    <x v="1"/>
  </r>
  <r>
    <x v="171"/>
    <x v="11"/>
    <x v="5"/>
    <x v="1"/>
    <x v="2"/>
    <m/>
    <x v="436"/>
    <x v="11"/>
    <x v="1"/>
  </r>
  <r>
    <x v="171"/>
    <x v="11"/>
    <x v="39"/>
    <x v="24"/>
    <x v="27"/>
    <n v="32500"/>
    <x v="0"/>
    <x v="11"/>
    <x v="1"/>
  </r>
  <r>
    <x v="171"/>
    <x v="15"/>
    <x v="5"/>
    <x v="1"/>
    <x v="2"/>
    <m/>
    <x v="372"/>
    <x v="11"/>
    <x v="1"/>
  </r>
  <r>
    <x v="171"/>
    <x v="15"/>
    <x v="39"/>
    <x v="20"/>
    <x v="68"/>
    <n v="16000"/>
    <x v="0"/>
    <x v="11"/>
    <x v="1"/>
  </r>
  <r>
    <x v="171"/>
    <x v="15"/>
    <x v="5"/>
    <x v="1"/>
    <x v="2"/>
    <m/>
    <x v="437"/>
    <x v="11"/>
    <x v="1"/>
  </r>
  <r>
    <x v="171"/>
    <x v="15"/>
    <x v="39"/>
    <x v="3"/>
    <x v="27"/>
    <n v="3250"/>
    <x v="0"/>
    <x v="11"/>
    <x v="1"/>
  </r>
  <r>
    <x v="171"/>
    <x v="15"/>
    <x v="25"/>
    <x v="10"/>
    <x v="128"/>
    <n v="1400"/>
    <x v="0"/>
    <x v="11"/>
    <x v="1"/>
  </r>
  <r>
    <x v="171"/>
    <x v="15"/>
    <x v="23"/>
    <x v="10"/>
    <x v="14"/>
    <n v="1000"/>
    <x v="0"/>
    <x v="11"/>
    <x v="1"/>
  </r>
  <r>
    <x v="171"/>
    <x v="15"/>
    <x v="5"/>
    <x v="1"/>
    <x v="2"/>
    <m/>
    <x v="91"/>
    <x v="11"/>
    <x v="1"/>
  </r>
  <r>
    <x v="171"/>
    <x v="15"/>
    <x v="39"/>
    <x v="4"/>
    <x v="26"/>
    <n v="6600"/>
    <x v="0"/>
    <x v="11"/>
    <x v="1"/>
  </r>
  <r>
    <x v="171"/>
    <x v="15"/>
    <x v="5"/>
    <x v="1"/>
    <x v="2"/>
    <m/>
    <x v="438"/>
    <x v="11"/>
    <x v="1"/>
  </r>
  <r>
    <x v="171"/>
    <x v="15"/>
    <x v="90"/>
    <x v="0"/>
    <x v="23"/>
    <n v="2600"/>
    <x v="0"/>
    <x v="11"/>
    <x v="1"/>
  </r>
  <r>
    <x v="171"/>
    <x v="8"/>
    <x v="5"/>
    <x v="1"/>
    <x v="2"/>
    <m/>
    <x v="439"/>
    <x v="11"/>
    <x v="1"/>
  </r>
  <r>
    <x v="171"/>
    <x v="15"/>
    <x v="5"/>
    <x v="1"/>
    <x v="2"/>
    <m/>
    <x v="38"/>
    <x v="11"/>
    <x v="1"/>
  </r>
  <r>
    <x v="171"/>
    <x v="15"/>
    <x v="73"/>
    <x v="10"/>
    <x v="12"/>
    <n v="1080"/>
    <x v="0"/>
    <x v="11"/>
    <x v="1"/>
  </r>
  <r>
    <x v="171"/>
    <x v="10"/>
    <x v="5"/>
    <x v="1"/>
    <x v="2"/>
    <m/>
    <x v="440"/>
    <x v="11"/>
    <x v="1"/>
  </r>
  <r>
    <x v="171"/>
    <x v="10"/>
    <x v="105"/>
    <x v="10"/>
    <x v="87"/>
    <n v="1720"/>
    <x v="0"/>
    <x v="11"/>
    <x v="1"/>
  </r>
  <r>
    <x v="171"/>
    <x v="10"/>
    <x v="73"/>
    <x v="0"/>
    <x v="65"/>
    <n v="2180"/>
    <x v="0"/>
    <x v="11"/>
    <x v="1"/>
  </r>
  <r>
    <x v="171"/>
    <x v="17"/>
    <x v="5"/>
    <x v="1"/>
    <x v="2"/>
    <m/>
    <x v="441"/>
    <x v="11"/>
    <x v="1"/>
  </r>
  <r>
    <x v="171"/>
    <x v="17"/>
    <x v="49"/>
    <x v="28"/>
    <x v="151"/>
    <n v="850"/>
    <x v="0"/>
    <x v="11"/>
    <x v="1"/>
  </r>
  <r>
    <x v="171"/>
    <x v="17"/>
    <x v="49"/>
    <x v="28"/>
    <x v="172"/>
    <n v="915"/>
    <x v="0"/>
    <x v="11"/>
    <x v="1"/>
  </r>
  <r>
    <x v="171"/>
    <x v="17"/>
    <x v="5"/>
    <x v="1"/>
    <x v="2"/>
    <m/>
    <x v="442"/>
    <x v="11"/>
    <x v="1"/>
  </r>
  <r>
    <x v="171"/>
    <x v="17"/>
    <x v="49"/>
    <x v="43"/>
    <x v="172"/>
    <n v="1830"/>
    <x v="0"/>
    <x v="11"/>
    <x v="1"/>
  </r>
  <r>
    <x v="172"/>
    <x v="5"/>
    <x v="5"/>
    <x v="1"/>
    <x v="2"/>
    <m/>
    <x v="443"/>
    <x v="11"/>
    <x v="1"/>
  </r>
  <r>
    <x v="172"/>
    <x v="5"/>
    <x v="49"/>
    <x v="48"/>
    <x v="151"/>
    <n v="10200"/>
    <x v="0"/>
    <x v="11"/>
    <x v="1"/>
  </r>
  <r>
    <x v="172"/>
    <x v="5"/>
    <x v="39"/>
    <x v="14"/>
    <x v="26"/>
    <n v="4950"/>
    <x v="0"/>
    <x v="11"/>
    <x v="1"/>
  </r>
  <r>
    <x v="172"/>
    <x v="5"/>
    <x v="17"/>
    <x v="10"/>
    <x v="144"/>
    <n v="820"/>
    <x v="0"/>
    <x v="11"/>
    <x v="1"/>
  </r>
  <r>
    <x v="172"/>
    <x v="5"/>
    <x v="10"/>
    <x v="10"/>
    <x v="37"/>
    <n v="600"/>
    <x v="0"/>
    <x v="11"/>
    <x v="1"/>
  </r>
  <r>
    <x v="172"/>
    <x v="5"/>
    <x v="30"/>
    <x v="45"/>
    <x v="12"/>
    <n v="4320"/>
    <x v="0"/>
    <x v="11"/>
    <x v="1"/>
  </r>
  <r>
    <x v="172"/>
    <x v="5"/>
    <x v="21"/>
    <x v="9"/>
    <x v="66"/>
    <n v="2370"/>
    <x v="0"/>
    <x v="11"/>
    <x v="1"/>
  </r>
  <r>
    <x v="172"/>
    <x v="5"/>
    <x v="93"/>
    <x v="10"/>
    <x v="163"/>
    <n v="1370"/>
    <x v="0"/>
    <x v="11"/>
    <x v="1"/>
  </r>
  <r>
    <x v="172"/>
    <x v="0"/>
    <x v="5"/>
    <x v="1"/>
    <x v="2"/>
    <m/>
    <x v="444"/>
    <x v="11"/>
    <x v="1"/>
  </r>
  <r>
    <x v="172"/>
    <x v="0"/>
    <x v="8"/>
    <x v="12"/>
    <x v="80"/>
    <n v="2650"/>
    <x v="0"/>
    <x v="11"/>
    <x v="1"/>
  </r>
  <r>
    <x v="173"/>
    <x v="18"/>
    <x v="5"/>
    <x v="1"/>
    <x v="2"/>
    <m/>
    <x v="445"/>
    <x v="11"/>
    <x v="1"/>
  </r>
  <r>
    <x v="173"/>
    <x v="18"/>
    <x v="39"/>
    <x v="24"/>
    <x v="68"/>
    <n v="32000"/>
    <x v="0"/>
    <x v="11"/>
    <x v="1"/>
  </r>
  <r>
    <x v="173"/>
    <x v="18"/>
    <x v="8"/>
    <x v="4"/>
    <x v="80"/>
    <n v="10600"/>
    <x v="0"/>
    <x v="11"/>
    <x v="1"/>
  </r>
  <r>
    <x v="173"/>
    <x v="1"/>
    <x v="5"/>
    <x v="1"/>
    <x v="2"/>
    <m/>
    <x v="399"/>
    <x v="11"/>
    <x v="1"/>
  </r>
  <r>
    <x v="173"/>
    <x v="1"/>
    <x v="39"/>
    <x v="24"/>
    <x v="68"/>
    <n v="32000"/>
    <x v="0"/>
    <x v="11"/>
    <x v="1"/>
  </r>
  <r>
    <x v="173"/>
    <x v="15"/>
    <x v="5"/>
    <x v="1"/>
    <x v="2"/>
    <m/>
    <x v="446"/>
    <x v="11"/>
    <x v="1"/>
  </r>
  <r>
    <x v="173"/>
    <x v="15"/>
    <x v="23"/>
    <x v="33"/>
    <x v="173"/>
    <n v="3450"/>
    <x v="0"/>
    <x v="11"/>
    <x v="1"/>
  </r>
  <r>
    <x v="173"/>
    <x v="15"/>
    <x v="39"/>
    <x v="4"/>
    <x v="27"/>
    <n v="6500"/>
    <x v="0"/>
    <x v="11"/>
    <x v="1"/>
  </r>
  <r>
    <x v="173"/>
    <x v="17"/>
    <x v="5"/>
    <x v="1"/>
    <x v="2"/>
    <m/>
    <x v="406"/>
    <x v="11"/>
    <x v="1"/>
  </r>
  <r>
    <x v="173"/>
    <x v="17"/>
    <x v="39"/>
    <x v="16"/>
    <x v="68"/>
    <n v="9600"/>
    <x v="0"/>
    <x v="11"/>
    <x v="1"/>
  </r>
  <r>
    <x v="173"/>
    <x v="15"/>
    <x v="5"/>
    <x v="1"/>
    <x v="2"/>
    <m/>
    <x v="447"/>
    <x v="11"/>
    <x v="1"/>
  </r>
  <r>
    <x v="173"/>
    <x v="15"/>
    <x v="39"/>
    <x v="16"/>
    <x v="26"/>
    <n v="9900"/>
    <x v="0"/>
    <x v="11"/>
    <x v="1"/>
  </r>
  <r>
    <x v="173"/>
    <x v="15"/>
    <x v="49"/>
    <x v="30"/>
    <x v="43"/>
    <n v="7600"/>
    <x v="0"/>
    <x v="11"/>
    <x v="1"/>
  </r>
  <r>
    <x v="174"/>
    <x v="25"/>
    <x v="5"/>
    <x v="1"/>
    <x v="2"/>
    <m/>
    <x v="273"/>
    <x v="11"/>
    <x v="1"/>
  </r>
  <r>
    <x v="174"/>
    <x v="25"/>
    <x v="78"/>
    <x v="4"/>
    <x v="130"/>
    <n v="2360"/>
    <x v="0"/>
    <x v="11"/>
    <x v="1"/>
  </r>
  <r>
    <x v="174"/>
    <x v="40"/>
    <x v="5"/>
    <x v="1"/>
    <x v="2"/>
    <m/>
    <x v="167"/>
    <x v="11"/>
    <x v="1"/>
  </r>
  <r>
    <x v="174"/>
    <x v="40"/>
    <x v="85"/>
    <x v="2"/>
    <x v="129"/>
    <n v="6180"/>
    <x v="0"/>
    <x v="11"/>
    <x v="1"/>
  </r>
  <r>
    <x v="174"/>
    <x v="62"/>
    <x v="5"/>
    <x v="1"/>
    <x v="2"/>
    <m/>
    <x v="448"/>
    <x v="11"/>
    <x v="1"/>
  </r>
  <r>
    <x v="174"/>
    <x v="62"/>
    <x v="49"/>
    <x v="82"/>
    <x v="172"/>
    <n v="36600"/>
    <x v="0"/>
    <x v="11"/>
    <x v="1"/>
  </r>
  <r>
    <x v="174"/>
    <x v="0"/>
    <x v="5"/>
    <x v="1"/>
    <x v="2"/>
    <m/>
    <x v="449"/>
    <x v="11"/>
    <x v="1"/>
  </r>
  <r>
    <x v="174"/>
    <x v="0"/>
    <x v="49"/>
    <x v="83"/>
    <x v="143"/>
    <n v="25900"/>
    <x v="0"/>
    <x v="11"/>
    <x v="1"/>
  </r>
  <r>
    <x v="174"/>
    <x v="17"/>
    <x v="5"/>
    <x v="1"/>
    <x v="2"/>
    <m/>
    <x v="374"/>
    <x v="11"/>
    <x v="1"/>
  </r>
  <r>
    <x v="174"/>
    <x v="17"/>
    <x v="39"/>
    <x v="3"/>
    <x v="68"/>
    <n v="3200"/>
    <x v="0"/>
    <x v="11"/>
    <x v="1"/>
  </r>
  <r>
    <x v="174"/>
    <x v="13"/>
    <x v="5"/>
    <x v="1"/>
    <x v="2"/>
    <m/>
    <x v="307"/>
    <x v="11"/>
    <x v="1"/>
  </r>
  <r>
    <x v="174"/>
    <x v="13"/>
    <x v="91"/>
    <x v="9"/>
    <x v="132"/>
    <n v="1770"/>
    <x v="0"/>
    <x v="11"/>
    <x v="1"/>
  </r>
  <r>
    <x v="175"/>
    <x v="17"/>
    <x v="5"/>
    <x v="1"/>
    <x v="2"/>
    <m/>
    <x v="374"/>
    <x v="11"/>
    <x v="1"/>
  </r>
  <r>
    <x v="175"/>
    <x v="17"/>
    <x v="39"/>
    <x v="3"/>
    <x v="68"/>
    <n v="3200"/>
    <x v="0"/>
    <x v="11"/>
    <x v="1"/>
  </r>
  <r>
    <x v="175"/>
    <x v="17"/>
    <x v="5"/>
    <x v="1"/>
    <x v="2"/>
    <m/>
    <x v="374"/>
    <x v="11"/>
    <x v="1"/>
  </r>
  <r>
    <x v="175"/>
    <x v="17"/>
    <x v="39"/>
    <x v="3"/>
    <x v="68"/>
    <n v="3200"/>
    <x v="0"/>
    <x v="11"/>
    <x v="1"/>
  </r>
  <r>
    <x v="176"/>
    <x v="17"/>
    <x v="5"/>
    <x v="1"/>
    <x v="2"/>
    <m/>
    <x v="374"/>
    <x v="11"/>
    <x v="1"/>
  </r>
  <r>
    <x v="176"/>
    <x v="17"/>
    <x v="39"/>
    <x v="3"/>
    <x v="68"/>
    <n v="3200"/>
    <x v="0"/>
    <x v="11"/>
    <x v="1"/>
  </r>
  <r>
    <x v="176"/>
    <x v="15"/>
    <x v="5"/>
    <x v="1"/>
    <x v="2"/>
    <m/>
    <x v="450"/>
    <x v="11"/>
    <x v="1"/>
  </r>
  <r>
    <x v="176"/>
    <x v="15"/>
    <x v="39"/>
    <x v="8"/>
    <x v="6"/>
    <n v="335"/>
    <x v="0"/>
    <x v="11"/>
    <x v="1"/>
  </r>
  <r>
    <x v="176"/>
    <x v="15"/>
    <x v="49"/>
    <x v="35"/>
    <x v="43"/>
    <n v="380"/>
    <x v="0"/>
    <x v="11"/>
    <x v="1"/>
  </r>
  <r>
    <x v="176"/>
    <x v="15"/>
    <x v="89"/>
    <x v="9"/>
    <x v="26"/>
    <n v="990"/>
    <x v="0"/>
    <x v="11"/>
    <x v="1"/>
  </r>
  <r>
    <x v="176"/>
    <x v="15"/>
    <x v="73"/>
    <x v="10"/>
    <x v="11"/>
    <n v="1100"/>
    <x v="0"/>
    <x v="11"/>
    <x v="1"/>
  </r>
  <r>
    <x v="176"/>
    <x v="15"/>
    <x v="39"/>
    <x v="8"/>
    <x v="34"/>
    <n v="340"/>
    <x v="0"/>
    <x v="11"/>
    <x v="1"/>
  </r>
  <r>
    <x v="176"/>
    <x v="8"/>
    <x v="5"/>
    <x v="1"/>
    <x v="2"/>
    <m/>
    <x v="451"/>
    <x v="11"/>
    <x v="1"/>
  </r>
  <r>
    <x v="176"/>
    <x v="15"/>
    <x v="5"/>
    <x v="1"/>
    <x v="2"/>
    <m/>
    <x v="452"/>
    <x v="11"/>
    <x v="1"/>
  </r>
  <r>
    <x v="176"/>
    <x v="15"/>
    <x v="39"/>
    <x v="3"/>
    <x v="68"/>
    <n v="3200"/>
    <x v="0"/>
    <x v="11"/>
    <x v="1"/>
  </r>
  <r>
    <x v="176"/>
    <x v="15"/>
    <x v="49"/>
    <x v="22"/>
    <x v="43"/>
    <n v="190"/>
    <x v="0"/>
    <x v="11"/>
    <x v="1"/>
  </r>
  <r>
    <x v="176"/>
    <x v="15"/>
    <x v="39"/>
    <x v="33"/>
    <x v="174"/>
    <n v="2270"/>
    <x v="0"/>
    <x v="11"/>
    <x v="1"/>
  </r>
  <r>
    <x v="176"/>
    <x v="15"/>
    <x v="49"/>
    <x v="35"/>
    <x v="43"/>
    <n v="380"/>
    <x v="0"/>
    <x v="11"/>
    <x v="1"/>
  </r>
  <r>
    <x v="176"/>
    <x v="15"/>
    <x v="49"/>
    <x v="28"/>
    <x v="38"/>
    <n v="1000"/>
    <x v="0"/>
    <x v="11"/>
    <x v="1"/>
  </r>
  <r>
    <x v="176"/>
    <x v="15"/>
    <x v="39"/>
    <x v="9"/>
    <x v="58"/>
    <n v="1000"/>
    <x v="0"/>
    <x v="11"/>
    <x v="1"/>
  </r>
  <r>
    <x v="176"/>
    <x v="15"/>
    <x v="8"/>
    <x v="8"/>
    <x v="14"/>
    <n v="500"/>
    <x v="0"/>
    <x v="11"/>
    <x v="1"/>
  </r>
  <r>
    <x v="176"/>
    <x v="15"/>
    <x v="73"/>
    <x v="8"/>
    <x v="14"/>
    <n v="500"/>
    <x v="0"/>
    <x v="11"/>
    <x v="1"/>
  </r>
  <r>
    <x v="176"/>
    <x v="15"/>
    <x v="4"/>
    <x v="9"/>
    <x v="60"/>
    <n v="500"/>
    <x v="0"/>
    <x v="11"/>
    <x v="1"/>
  </r>
  <r>
    <x v="176"/>
    <x v="1"/>
    <x v="5"/>
    <x v="1"/>
    <x v="2"/>
    <m/>
    <x v="305"/>
    <x v="11"/>
    <x v="1"/>
  </r>
  <r>
    <x v="176"/>
    <x v="1"/>
    <x v="91"/>
    <x v="8"/>
    <x v="132"/>
    <n v="590"/>
    <x v="0"/>
    <x v="11"/>
    <x v="1"/>
  </r>
  <r>
    <x v="176"/>
    <x v="15"/>
    <x v="5"/>
    <x v="1"/>
    <x v="2"/>
    <m/>
    <x v="59"/>
    <x v="11"/>
    <x v="1"/>
  </r>
  <r>
    <x v="176"/>
    <x v="15"/>
    <x v="91"/>
    <x v="10"/>
    <x v="134"/>
    <n v="1190"/>
    <x v="0"/>
    <x v="11"/>
    <x v="1"/>
  </r>
  <r>
    <x v="177"/>
    <x v="23"/>
    <x v="5"/>
    <x v="1"/>
    <x v="2"/>
    <m/>
    <x v="453"/>
    <x v="11"/>
    <x v="1"/>
  </r>
  <r>
    <x v="177"/>
    <x v="23"/>
    <x v="8"/>
    <x v="3"/>
    <x v="11"/>
    <n v="5500"/>
    <x v="0"/>
    <x v="11"/>
    <x v="1"/>
  </r>
  <r>
    <x v="177"/>
    <x v="23"/>
    <x v="4"/>
    <x v="84"/>
    <x v="175"/>
    <n v="3150"/>
    <x v="0"/>
    <x v="11"/>
    <x v="1"/>
  </r>
  <r>
    <x v="177"/>
    <x v="23"/>
    <x v="30"/>
    <x v="45"/>
    <x v="12"/>
    <n v="4320"/>
    <x v="0"/>
    <x v="11"/>
    <x v="1"/>
  </r>
  <r>
    <x v="177"/>
    <x v="23"/>
    <x v="107"/>
    <x v="8"/>
    <x v="8"/>
    <n v="750"/>
    <x v="0"/>
    <x v="11"/>
    <x v="1"/>
  </r>
  <r>
    <x v="177"/>
    <x v="23"/>
    <x v="104"/>
    <x v="8"/>
    <x v="68"/>
    <n v="320"/>
    <x v="0"/>
    <x v="11"/>
    <x v="1"/>
  </r>
  <r>
    <x v="177"/>
    <x v="15"/>
    <x v="5"/>
    <x v="1"/>
    <x v="2"/>
    <m/>
    <x v="454"/>
    <x v="11"/>
    <x v="1"/>
  </r>
  <r>
    <x v="177"/>
    <x v="15"/>
    <x v="39"/>
    <x v="3"/>
    <x v="41"/>
    <n v="3280"/>
    <x v="0"/>
    <x v="11"/>
    <x v="1"/>
  </r>
  <r>
    <x v="177"/>
    <x v="15"/>
    <x v="49"/>
    <x v="26"/>
    <x v="47"/>
    <n v="5640"/>
    <x v="0"/>
    <x v="11"/>
    <x v="1"/>
  </r>
  <r>
    <x v="177"/>
    <x v="21"/>
    <x v="5"/>
    <x v="1"/>
    <x v="2"/>
    <m/>
    <x v="245"/>
    <x v="11"/>
    <x v="1"/>
  </r>
  <r>
    <x v="177"/>
    <x v="21"/>
    <x v="39"/>
    <x v="3"/>
    <x v="27"/>
    <n v="3250"/>
    <x v="0"/>
    <x v="11"/>
    <x v="1"/>
  </r>
  <r>
    <x v="177"/>
    <x v="21"/>
    <x v="49"/>
    <x v="38"/>
    <x v="43"/>
    <n v="3800"/>
    <x v="0"/>
    <x v="11"/>
    <x v="1"/>
  </r>
  <r>
    <x v="177"/>
    <x v="15"/>
    <x v="5"/>
    <x v="1"/>
    <x v="2"/>
    <m/>
    <x v="455"/>
    <x v="11"/>
    <x v="1"/>
  </r>
  <r>
    <x v="177"/>
    <x v="15"/>
    <x v="23"/>
    <x v="8"/>
    <x v="14"/>
    <n v="500"/>
    <x v="0"/>
    <x v="11"/>
    <x v="1"/>
  </r>
  <r>
    <x v="177"/>
    <x v="15"/>
    <x v="49"/>
    <x v="30"/>
    <x v="43"/>
    <n v="7600"/>
    <x v="0"/>
    <x v="11"/>
    <x v="1"/>
  </r>
  <r>
    <x v="177"/>
    <x v="17"/>
    <x v="5"/>
    <x v="1"/>
    <x v="2"/>
    <m/>
    <x v="406"/>
    <x v="11"/>
    <x v="1"/>
  </r>
  <r>
    <x v="177"/>
    <x v="17"/>
    <x v="39"/>
    <x v="16"/>
    <x v="68"/>
    <n v="9600"/>
    <x v="0"/>
    <x v="11"/>
    <x v="1"/>
  </r>
  <r>
    <x v="177"/>
    <x v="51"/>
    <x v="5"/>
    <x v="1"/>
    <x v="2"/>
    <m/>
    <x v="258"/>
    <x v="11"/>
    <x v="1"/>
  </r>
  <r>
    <x v="177"/>
    <x v="51"/>
    <x v="91"/>
    <x v="12"/>
    <x v="132"/>
    <n v="2950"/>
    <x v="0"/>
    <x v="11"/>
    <x v="1"/>
  </r>
  <r>
    <x v="177"/>
    <x v="1"/>
    <x v="5"/>
    <x v="1"/>
    <x v="2"/>
    <m/>
    <x v="306"/>
    <x v="11"/>
    <x v="1"/>
  </r>
  <r>
    <x v="177"/>
    <x v="1"/>
    <x v="91"/>
    <x v="3"/>
    <x v="132"/>
    <n v="5900"/>
    <x v="0"/>
    <x v="11"/>
    <x v="1"/>
  </r>
  <r>
    <x v="177"/>
    <x v="1"/>
    <x v="5"/>
    <x v="1"/>
    <x v="2"/>
    <m/>
    <x v="449"/>
    <x v="11"/>
    <x v="1"/>
  </r>
  <r>
    <x v="177"/>
    <x v="1"/>
    <x v="49"/>
    <x v="83"/>
    <x v="143"/>
    <n v="25900"/>
    <x v="0"/>
    <x v="11"/>
    <x v="1"/>
  </r>
  <r>
    <x v="177"/>
    <x v="14"/>
    <x v="5"/>
    <x v="1"/>
    <x v="2"/>
    <m/>
    <x v="456"/>
    <x v="11"/>
    <x v="1"/>
  </r>
  <r>
    <x v="177"/>
    <x v="14"/>
    <x v="49"/>
    <x v="82"/>
    <x v="143"/>
    <n v="37000"/>
    <x v="0"/>
    <x v="11"/>
    <x v="1"/>
  </r>
  <r>
    <x v="177"/>
    <x v="5"/>
    <x v="5"/>
    <x v="1"/>
    <x v="2"/>
    <m/>
    <x v="457"/>
    <x v="11"/>
    <x v="1"/>
  </r>
  <r>
    <x v="177"/>
    <x v="5"/>
    <x v="49"/>
    <x v="30"/>
    <x v="151"/>
    <n v="6800"/>
    <x v="0"/>
    <x v="11"/>
    <x v="1"/>
  </r>
  <r>
    <x v="177"/>
    <x v="5"/>
    <x v="49"/>
    <x v="38"/>
    <x v="143"/>
    <n v="3700"/>
    <x v="0"/>
    <x v="11"/>
    <x v="1"/>
  </r>
  <r>
    <x v="177"/>
    <x v="5"/>
    <x v="39"/>
    <x v="4"/>
    <x v="26"/>
    <n v="6600"/>
    <x v="0"/>
    <x v="11"/>
    <x v="1"/>
  </r>
  <r>
    <x v="177"/>
    <x v="5"/>
    <x v="8"/>
    <x v="3"/>
    <x v="30"/>
    <n v="5350"/>
    <x v="0"/>
    <x v="11"/>
    <x v="1"/>
  </r>
  <r>
    <x v="177"/>
    <x v="5"/>
    <x v="64"/>
    <x v="0"/>
    <x v="176"/>
    <n v="3320"/>
    <x v="0"/>
    <x v="11"/>
    <x v="1"/>
  </r>
  <r>
    <x v="177"/>
    <x v="5"/>
    <x v="17"/>
    <x v="10"/>
    <x v="144"/>
    <n v="820"/>
    <x v="0"/>
    <x v="11"/>
    <x v="1"/>
  </r>
  <r>
    <x v="177"/>
    <x v="5"/>
    <x v="23"/>
    <x v="10"/>
    <x v="29"/>
    <n v="980"/>
    <x v="0"/>
    <x v="11"/>
    <x v="1"/>
  </r>
  <r>
    <x v="177"/>
    <x v="5"/>
    <x v="21"/>
    <x v="10"/>
    <x v="66"/>
    <n v="1580"/>
    <x v="0"/>
    <x v="11"/>
    <x v="1"/>
  </r>
  <r>
    <x v="177"/>
    <x v="5"/>
    <x v="25"/>
    <x v="8"/>
    <x v="81"/>
    <n v="690"/>
    <x v="0"/>
    <x v="11"/>
    <x v="1"/>
  </r>
  <r>
    <x v="177"/>
    <x v="5"/>
    <x v="22"/>
    <x v="10"/>
    <x v="14"/>
    <n v="1000"/>
    <x v="0"/>
    <x v="11"/>
    <x v="1"/>
  </r>
  <r>
    <x v="178"/>
    <x v="50"/>
    <x v="5"/>
    <x v="1"/>
    <x v="2"/>
    <m/>
    <x v="81"/>
    <x v="11"/>
    <x v="1"/>
  </r>
  <r>
    <x v="178"/>
    <x v="50"/>
    <x v="39"/>
    <x v="17"/>
    <x v="68"/>
    <n v="12800"/>
    <x v="0"/>
    <x v="11"/>
    <x v="1"/>
  </r>
  <r>
    <x v="179"/>
    <x v="60"/>
    <x v="5"/>
    <x v="1"/>
    <x v="2"/>
    <m/>
    <x v="458"/>
    <x v="11"/>
    <x v="1"/>
  </r>
  <r>
    <x v="179"/>
    <x v="60"/>
    <x v="74"/>
    <x v="12"/>
    <x v="23"/>
    <n v="3250"/>
    <x v="0"/>
    <x v="11"/>
    <x v="1"/>
  </r>
  <r>
    <x v="179"/>
    <x v="60"/>
    <x v="39"/>
    <x v="4"/>
    <x v="26"/>
    <n v="6600"/>
    <x v="0"/>
    <x v="11"/>
    <x v="1"/>
  </r>
  <r>
    <x v="179"/>
    <x v="60"/>
    <x v="22"/>
    <x v="45"/>
    <x v="32"/>
    <n v="4160"/>
    <x v="0"/>
    <x v="11"/>
    <x v="1"/>
  </r>
  <r>
    <x v="179"/>
    <x v="60"/>
    <x v="25"/>
    <x v="11"/>
    <x v="170"/>
    <n v="4260"/>
    <x v="0"/>
    <x v="11"/>
    <x v="1"/>
  </r>
  <r>
    <x v="179"/>
    <x v="60"/>
    <x v="23"/>
    <x v="33"/>
    <x v="29"/>
    <n v="3430"/>
    <x v="0"/>
    <x v="11"/>
    <x v="1"/>
  </r>
  <r>
    <x v="179"/>
    <x v="60"/>
    <x v="49"/>
    <x v="26"/>
    <x v="43"/>
    <n v="5700"/>
    <x v="0"/>
    <x v="11"/>
    <x v="1"/>
  </r>
  <r>
    <x v="179"/>
    <x v="60"/>
    <x v="10"/>
    <x v="12"/>
    <x v="12"/>
    <n v="2700"/>
    <x v="0"/>
    <x v="11"/>
    <x v="1"/>
  </r>
  <r>
    <x v="179"/>
    <x v="60"/>
    <x v="73"/>
    <x v="9"/>
    <x v="12"/>
    <n v="1620"/>
    <x v="0"/>
    <x v="11"/>
    <x v="1"/>
  </r>
  <r>
    <x v="179"/>
    <x v="60"/>
    <x v="37"/>
    <x v="8"/>
    <x v="12"/>
    <n v="540"/>
    <x v="0"/>
    <x v="11"/>
    <x v="1"/>
  </r>
  <r>
    <x v="179"/>
    <x v="60"/>
    <x v="8"/>
    <x v="12"/>
    <x v="12"/>
    <n v="2700"/>
    <x v="0"/>
    <x v="11"/>
    <x v="1"/>
  </r>
  <r>
    <x v="179"/>
    <x v="60"/>
    <x v="30"/>
    <x v="10"/>
    <x v="12"/>
    <n v="1080"/>
    <x v="0"/>
    <x v="11"/>
    <x v="1"/>
  </r>
  <r>
    <x v="179"/>
    <x v="60"/>
    <x v="5"/>
    <x v="1"/>
    <x v="2"/>
    <m/>
    <x v="459"/>
    <x v="11"/>
    <x v="1"/>
  </r>
  <r>
    <x v="179"/>
    <x v="60"/>
    <x v="64"/>
    <x v="9"/>
    <x v="87"/>
    <n v="2580"/>
    <x v="0"/>
    <x v="11"/>
    <x v="1"/>
  </r>
  <r>
    <x v="179"/>
    <x v="60"/>
    <x v="105"/>
    <x v="10"/>
    <x v="87"/>
    <n v="1720"/>
    <x v="0"/>
    <x v="11"/>
    <x v="1"/>
  </r>
  <r>
    <x v="179"/>
    <x v="60"/>
    <x v="26"/>
    <x v="9"/>
    <x v="23"/>
    <n v="1950"/>
    <x v="0"/>
    <x v="11"/>
    <x v="1"/>
  </r>
  <r>
    <x v="179"/>
    <x v="60"/>
    <x v="27"/>
    <x v="10"/>
    <x v="12"/>
    <n v="1080"/>
    <x v="0"/>
    <x v="11"/>
    <x v="1"/>
  </r>
  <r>
    <x v="179"/>
    <x v="60"/>
    <x v="17"/>
    <x v="10"/>
    <x v="8"/>
    <n v="1500"/>
    <x v="0"/>
    <x v="11"/>
    <x v="1"/>
  </r>
  <r>
    <x v="179"/>
    <x v="60"/>
    <x v="18"/>
    <x v="10"/>
    <x v="8"/>
    <n v="1500"/>
    <x v="0"/>
    <x v="11"/>
    <x v="1"/>
  </r>
  <r>
    <x v="179"/>
    <x v="60"/>
    <x v="107"/>
    <x v="8"/>
    <x v="8"/>
    <n v="750"/>
    <x v="0"/>
    <x v="11"/>
    <x v="1"/>
  </r>
  <r>
    <x v="179"/>
    <x v="60"/>
    <x v="104"/>
    <x v="8"/>
    <x v="68"/>
    <n v="320"/>
    <x v="0"/>
    <x v="11"/>
    <x v="1"/>
  </r>
  <r>
    <x v="179"/>
    <x v="60"/>
    <x v="100"/>
    <x v="45"/>
    <x v="148"/>
    <n v="760"/>
    <x v="0"/>
    <x v="11"/>
    <x v="1"/>
  </r>
  <r>
    <x v="179"/>
    <x v="15"/>
    <x v="5"/>
    <x v="1"/>
    <x v="2"/>
    <m/>
    <x v="150"/>
    <x v="11"/>
    <x v="1"/>
  </r>
  <r>
    <x v="179"/>
    <x v="15"/>
    <x v="8"/>
    <x v="12"/>
    <x v="12"/>
    <n v="2700"/>
    <x v="0"/>
    <x v="11"/>
    <x v="1"/>
  </r>
  <r>
    <x v="179"/>
    <x v="63"/>
    <x v="5"/>
    <x v="1"/>
    <x v="2"/>
    <m/>
    <x v="460"/>
    <x v="11"/>
    <x v="1"/>
  </r>
  <r>
    <x v="179"/>
    <x v="63"/>
    <x v="49"/>
    <x v="30"/>
    <x v="151"/>
    <n v="6800"/>
    <x v="0"/>
    <x v="11"/>
    <x v="1"/>
  </r>
  <r>
    <x v="179"/>
    <x v="63"/>
    <x v="10"/>
    <x v="10"/>
    <x v="12"/>
    <n v="1080"/>
    <x v="0"/>
    <x v="11"/>
    <x v="1"/>
  </r>
  <r>
    <x v="179"/>
    <x v="63"/>
    <x v="28"/>
    <x v="8"/>
    <x v="12"/>
    <n v="540"/>
    <x v="0"/>
    <x v="11"/>
    <x v="1"/>
  </r>
  <r>
    <x v="179"/>
    <x v="63"/>
    <x v="7"/>
    <x v="10"/>
    <x v="3"/>
    <n v="840"/>
    <x v="0"/>
    <x v="11"/>
    <x v="1"/>
  </r>
  <r>
    <x v="179"/>
    <x v="63"/>
    <x v="37"/>
    <x v="8"/>
    <x v="12"/>
    <n v="540"/>
    <x v="0"/>
    <x v="11"/>
    <x v="1"/>
  </r>
  <r>
    <x v="179"/>
    <x v="63"/>
    <x v="23"/>
    <x v="9"/>
    <x v="52"/>
    <n v="1530"/>
    <x v="0"/>
    <x v="11"/>
    <x v="1"/>
  </r>
  <r>
    <x v="179"/>
    <x v="15"/>
    <x v="5"/>
    <x v="1"/>
    <x v="2"/>
    <m/>
    <x v="461"/>
    <x v="11"/>
    <x v="1"/>
  </r>
  <r>
    <x v="179"/>
    <x v="15"/>
    <x v="49"/>
    <x v="38"/>
    <x v="43"/>
    <n v="3800"/>
    <x v="0"/>
    <x v="11"/>
    <x v="1"/>
  </r>
  <r>
    <x v="179"/>
    <x v="15"/>
    <x v="39"/>
    <x v="14"/>
    <x v="26"/>
    <n v="4950"/>
    <x v="0"/>
    <x v="11"/>
    <x v="1"/>
  </r>
  <r>
    <x v="179"/>
    <x v="15"/>
    <x v="8"/>
    <x v="8"/>
    <x v="12"/>
    <n v="540"/>
    <x v="0"/>
    <x v="11"/>
    <x v="1"/>
  </r>
  <r>
    <x v="180"/>
    <x v="18"/>
    <x v="5"/>
    <x v="1"/>
    <x v="2"/>
    <m/>
    <x v="86"/>
    <x v="11"/>
    <x v="1"/>
  </r>
  <r>
    <x v="180"/>
    <x v="18"/>
    <x v="8"/>
    <x v="0"/>
    <x v="80"/>
    <n v="2120"/>
    <x v="0"/>
    <x v="1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62BF6-C33F-43E9-AF90-8A9B36DFF3E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3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axis="axisRow" showAll="0" sortType="descending">
      <items count="110">
        <item x="90"/>
        <item x="10"/>
        <item x="0"/>
        <item x="26"/>
        <item x="17"/>
        <item x="31"/>
        <item x="64"/>
        <item x="43"/>
        <item x="99"/>
        <item x="12"/>
        <item x="24"/>
        <item x="40"/>
        <item x="93"/>
        <item x="82"/>
        <item x="7"/>
        <item x="4"/>
        <item x="36"/>
        <item x="57"/>
        <item x="92"/>
        <item x="9"/>
        <item x="52"/>
        <item x="61"/>
        <item x="91"/>
        <item x="45"/>
        <item x="106"/>
        <item x="47"/>
        <item x="46"/>
        <item x="96"/>
        <item x="83"/>
        <item x="84"/>
        <item x="97"/>
        <item x="88"/>
        <item x="48"/>
        <item x="87"/>
        <item x="50"/>
        <item x="98"/>
        <item x="56"/>
        <item x="39"/>
        <item x="22"/>
        <item x="60"/>
        <item x="21"/>
        <item x="23"/>
        <item x="25"/>
        <item x="85"/>
        <item x="86"/>
        <item x="69"/>
        <item x="68"/>
        <item x="78"/>
        <item x="62"/>
        <item x="66"/>
        <item x="55"/>
        <item x="58"/>
        <item x="54"/>
        <item x="59"/>
        <item x="89"/>
        <item x="65"/>
        <item x="51"/>
        <item x="14"/>
        <item x="41"/>
        <item x="3"/>
        <item x="29"/>
        <item x="13"/>
        <item x="34"/>
        <item x="37"/>
        <item x="108"/>
        <item x="16"/>
        <item x="35"/>
        <item x="2"/>
        <item x="42"/>
        <item x="71"/>
        <item x="75"/>
        <item x="28"/>
        <item x="30"/>
        <item x="74"/>
        <item x="72"/>
        <item x="103"/>
        <item x="102"/>
        <item x="27"/>
        <item x="18"/>
        <item x="73"/>
        <item x="1"/>
        <item x="19"/>
        <item x="76"/>
        <item x="33"/>
        <item x="105"/>
        <item x="70"/>
        <item x="107"/>
        <item x="32"/>
        <item x="20"/>
        <item x="95"/>
        <item x="81"/>
        <item x="80"/>
        <item x="63"/>
        <item x="11"/>
        <item x="8"/>
        <item x="6"/>
        <item x="94"/>
        <item x="53"/>
        <item x="67"/>
        <item x="44"/>
        <item x="104"/>
        <item x="49"/>
        <item x="77"/>
        <item x="38"/>
        <item x="100"/>
        <item x="101"/>
        <item x="15"/>
        <item x="79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110">
    <i>
      <x v="37"/>
    </i>
    <i>
      <x v="101"/>
    </i>
    <i>
      <x v="94"/>
    </i>
    <i>
      <x v="22"/>
    </i>
    <i>
      <x v="14"/>
    </i>
    <i>
      <x v="9"/>
    </i>
    <i>
      <x v="46"/>
    </i>
    <i>
      <x v="43"/>
    </i>
    <i>
      <x v="48"/>
    </i>
    <i>
      <x v="19"/>
    </i>
    <i>
      <x v="1"/>
    </i>
    <i>
      <x v="51"/>
    </i>
    <i>
      <x v="47"/>
    </i>
    <i>
      <x v="40"/>
    </i>
    <i>
      <x v="15"/>
    </i>
    <i>
      <x v="81"/>
    </i>
    <i>
      <x v="90"/>
    </i>
    <i>
      <x v="89"/>
    </i>
    <i>
      <x v="4"/>
    </i>
    <i>
      <x v="95"/>
    </i>
    <i>
      <x v="91"/>
    </i>
    <i>
      <x v="41"/>
    </i>
    <i>
      <x v="38"/>
    </i>
    <i>
      <x v="10"/>
    </i>
    <i>
      <x v="79"/>
    </i>
    <i>
      <x v="72"/>
    </i>
    <i>
      <x v="49"/>
    </i>
    <i>
      <x v="42"/>
    </i>
    <i>
      <x v="44"/>
    </i>
    <i>
      <x v="97"/>
    </i>
    <i>
      <x v="5"/>
    </i>
    <i>
      <x v="3"/>
    </i>
    <i>
      <x v="83"/>
    </i>
    <i>
      <x v="2"/>
    </i>
    <i>
      <x v="6"/>
    </i>
    <i>
      <x v="66"/>
    </i>
    <i>
      <x v="87"/>
    </i>
    <i>
      <x v="7"/>
    </i>
    <i>
      <x v="13"/>
    </i>
    <i>
      <x v="32"/>
    </i>
    <i>
      <x v="78"/>
    </i>
    <i>
      <x v="88"/>
    </i>
    <i>
      <x v="74"/>
    </i>
    <i>
      <x v="11"/>
    </i>
    <i>
      <x/>
    </i>
    <i>
      <x v="53"/>
    </i>
    <i>
      <x v="36"/>
    </i>
    <i>
      <x v="73"/>
    </i>
    <i>
      <x v="63"/>
    </i>
    <i>
      <x v="39"/>
    </i>
    <i>
      <x v="20"/>
    </i>
    <i>
      <x v="84"/>
    </i>
    <i>
      <x v="80"/>
    </i>
    <i>
      <x v="21"/>
    </i>
    <i>
      <x v="65"/>
    </i>
    <i>
      <x v="17"/>
    </i>
    <i>
      <x v="12"/>
    </i>
    <i>
      <x v="92"/>
    </i>
    <i>
      <x v="26"/>
    </i>
    <i>
      <x v="98"/>
    </i>
    <i>
      <x v="82"/>
    </i>
    <i>
      <x v="104"/>
    </i>
    <i>
      <x v="61"/>
    </i>
    <i>
      <x v="29"/>
    </i>
    <i>
      <x v="28"/>
    </i>
    <i>
      <x v="68"/>
    </i>
    <i>
      <x v="77"/>
    </i>
    <i>
      <x v="69"/>
    </i>
    <i>
      <x v="86"/>
    </i>
    <i>
      <x v="50"/>
    </i>
    <i>
      <x v="62"/>
    </i>
    <i>
      <x v="54"/>
    </i>
    <i>
      <x v="59"/>
    </i>
    <i>
      <x v="67"/>
    </i>
    <i>
      <x v="64"/>
    </i>
    <i>
      <x v="71"/>
    </i>
    <i>
      <x v="103"/>
    </i>
    <i>
      <x v="106"/>
    </i>
    <i>
      <x v="23"/>
    </i>
    <i>
      <x v="45"/>
    </i>
    <i>
      <x v="96"/>
    </i>
    <i>
      <x v="25"/>
    </i>
    <i>
      <x v="58"/>
    </i>
    <i>
      <x v="60"/>
    </i>
    <i>
      <x v="102"/>
    </i>
    <i>
      <x v="107"/>
    </i>
    <i>
      <x v="99"/>
    </i>
    <i>
      <x v="100"/>
    </i>
    <i>
      <x v="70"/>
    </i>
    <i>
      <x v="34"/>
    </i>
    <i>
      <x v="16"/>
    </i>
    <i>
      <x v="30"/>
    </i>
    <i>
      <x v="105"/>
    </i>
    <i>
      <x v="57"/>
    </i>
    <i>
      <x v="56"/>
    </i>
    <i>
      <x v="55"/>
    </i>
    <i>
      <x v="27"/>
    </i>
    <i>
      <x v="33"/>
    </i>
    <i>
      <x v="18"/>
    </i>
    <i>
      <x v="24"/>
    </i>
    <i>
      <x v="52"/>
    </i>
    <i>
      <x v="93"/>
    </i>
    <i>
      <x v="108"/>
    </i>
    <i>
      <x v="75"/>
    </i>
    <i>
      <x v="35"/>
    </i>
    <i>
      <x v="76"/>
    </i>
    <i>
      <x v="85"/>
    </i>
    <i>
      <x v="8"/>
    </i>
    <i>
      <x v="31"/>
    </i>
    <i t="grand">
      <x/>
    </i>
  </rowItems>
  <colItems count="1">
    <i/>
  </colItems>
  <dataFields count="1">
    <dataField name="Sum of Total As Per Cas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096460-6552-49FA-BAEF-11136B6799B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22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showAll="0">
      <items count="110">
        <item x="90"/>
        <item x="10"/>
        <item x="0"/>
        <item x="26"/>
        <item x="17"/>
        <item x="31"/>
        <item x="64"/>
        <item x="43"/>
        <item x="99"/>
        <item x="12"/>
        <item x="24"/>
        <item x="40"/>
        <item x="93"/>
        <item x="82"/>
        <item x="7"/>
        <item x="4"/>
        <item x="36"/>
        <item x="57"/>
        <item x="92"/>
        <item x="9"/>
        <item x="52"/>
        <item x="61"/>
        <item x="91"/>
        <item x="45"/>
        <item x="106"/>
        <item x="47"/>
        <item x="46"/>
        <item x="96"/>
        <item x="83"/>
        <item x="84"/>
        <item x="97"/>
        <item x="88"/>
        <item x="48"/>
        <item x="87"/>
        <item x="50"/>
        <item x="98"/>
        <item x="56"/>
        <item x="39"/>
        <item x="22"/>
        <item x="60"/>
        <item x="21"/>
        <item x="23"/>
        <item x="25"/>
        <item x="85"/>
        <item x="86"/>
        <item x="69"/>
        <item x="68"/>
        <item x="78"/>
        <item x="62"/>
        <item x="66"/>
        <item x="55"/>
        <item x="58"/>
        <item x="54"/>
        <item x="59"/>
        <item x="89"/>
        <item x="65"/>
        <item x="51"/>
        <item x="14"/>
        <item x="41"/>
        <item x="3"/>
        <item x="29"/>
        <item x="13"/>
        <item x="34"/>
        <item x="37"/>
        <item x="108"/>
        <item x="16"/>
        <item x="35"/>
        <item x="2"/>
        <item x="42"/>
        <item x="71"/>
        <item x="75"/>
        <item x="28"/>
        <item x="30"/>
        <item x="74"/>
        <item x="72"/>
        <item x="103"/>
        <item x="102"/>
        <item x="27"/>
        <item x="18"/>
        <item x="73"/>
        <item x="1"/>
        <item x="19"/>
        <item x="76"/>
        <item x="33"/>
        <item x="105"/>
        <item x="70"/>
        <item x="107"/>
        <item x="32"/>
        <item x="20"/>
        <item x="95"/>
        <item x="81"/>
        <item x="80"/>
        <item x="63"/>
        <item x="11"/>
        <item x="8"/>
        <item x="6"/>
        <item x="94"/>
        <item x="53"/>
        <item x="67"/>
        <item x="44"/>
        <item x="104"/>
        <item x="49"/>
        <item x="77"/>
        <item x="38"/>
        <item x="100"/>
        <item x="101"/>
        <item x="15"/>
        <item x="79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11"/>
    <field x="10"/>
    <field x="9"/>
  </rowFields>
  <rowItems count="19">
    <i>
      <x v="1"/>
    </i>
    <i r="1">
      <x v="2"/>
    </i>
    <i r="2">
      <x v="4"/>
    </i>
    <i r="2">
      <x v="6"/>
    </i>
    <i r="2">
      <x v="5"/>
    </i>
    <i r="1">
      <x v="3"/>
    </i>
    <i r="2">
      <x v="9"/>
    </i>
    <i r="2">
      <x v="8"/>
    </i>
    <i r="2">
      <x v="7"/>
    </i>
    <i r="1">
      <x v="4"/>
    </i>
    <i r="2">
      <x v="10"/>
    </i>
    <i r="2">
      <x v="11"/>
    </i>
    <i r="2">
      <x v="12"/>
    </i>
    <i>
      <x v="2"/>
    </i>
    <i r="1">
      <x v="1"/>
    </i>
    <i r="2">
      <x v="3"/>
    </i>
    <i r="2">
      <x v="2"/>
    </i>
    <i r="2">
      <x v="1"/>
    </i>
    <i t="grand">
      <x/>
    </i>
  </rowItems>
  <colItems count="1">
    <i/>
  </colItems>
  <dataFields count="1">
    <dataField name="Sum of Total Amount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9E294A-B9AA-4816-B3AA-C9513E3ACBE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9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axis="axisRow" showAll="0" sortType="descending">
      <items count="65">
        <item h="1" x="36"/>
        <item h="1" x="50"/>
        <item x="17"/>
        <item h="1" x="16"/>
        <item h="1" x="13"/>
        <item h="1" x="58"/>
        <item h="1" x="3"/>
        <item h="1" x="54"/>
        <item h="1" x="24"/>
        <item h="1" x="37"/>
        <item h="1" x="55"/>
        <item h="1" x="21"/>
        <item h="1" x="15"/>
        <item h="1" x="26"/>
        <item h="1" x="28"/>
        <item h="1" x="20"/>
        <item h="1" x="59"/>
        <item h="1" x="8"/>
        <item h="1" x="32"/>
        <item x="0"/>
        <item x="18"/>
        <item h="1" x="7"/>
        <item h="1" x="29"/>
        <item h="1" x="62"/>
        <item h="1" x="48"/>
        <item h="1" x="45"/>
        <item h="1" x="25"/>
        <item h="1" x="33"/>
        <item h="1" x="9"/>
        <item h="1" x="41"/>
        <item h="1" x="43"/>
        <item h="1" x="31"/>
        <item h="1" x="34"/>
        <item h="1" x="61"/>
        <item h="1" x="4"/>
        <item h="1" x="49"/>
        <item h="1" x="44"/>
        <item h="1" x="22"/>
        <item h="1" x="19"/>
        <item h="1" x="30"/>
        <item h="1" x="10"/>
        <item h="1" x="60"/>
        <item h="1" x="23"/>
        <item h="1" x="12"/>
        <item h="1" x="56"/>
        <item h="1" x="1"/>
        <item h="1" x="6"/>
        <item h="1" x="35"/>
        <item h="1" x="47"/>
        <item h="1" x="39"/>
        <item x="14"/>
        <item h="1" x="27"/>
        <item h="1" x="5"/>
        <item h="1" x="46"/>
        <item h="1" x="53"/>
        <item x="2"/>
        <item h="1" x="42"/>
        <item h="1" x="63"/>
        <item h="1" x="38"/>
        <item h="1" x="57"/>
        <item h="1" x="40"/>
        <item h="1" x="11"/>
        <item h="1" x="51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"/>
  </rowFields>
  <rowItems count="6">
    <i>
      <x v="19"/>
    </i>
    <i>
      <x v="55"/>
    </i>
    <i>
      <x v="2"/>
    </i>
    <i>
      <x v="50"/>
    </i>
    <i>
      <x v="20"/>
    </i>
    <i t="grand">
      <x/>
    </i>
  </rowItems>
  <colItems count="1">
    <i/>
  </colItems>
  <dataFields count="1">
    <dataField name="Sum of Total Amount" fld="6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55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83B03-6835-4897-A06E-2EE480EBED3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13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axis="axisRow" showAll="0" sortType="descending">
      <items count="110">
        <item x="90"/>
        <item x="10"/>
        <item x="0"/>
        <item x="26"/>
        <item x="17"/>
        <item x="31"/>
        <item x="64"/>
        <item x="43"/>
        <item x="99"/>
        <item x="12"/>
        <item x="24"/>
        <item x="40"/>
        <item x="93"/>
        <item x="82"/>
        <item x="7"/>
        <item x="4"/>
        <item x="36"/>
        <item x="57"/>
        <item x="92"/>
        <item x="9"/>
        <item x="52"/>
        <item x="61"/>
        <item x="91"/>
        <item x="45"/>
        <item x="106"/>
        <item x="47"/>
        <item x="46"/>
        <item x="96"/>
        <item x="83"/>
        <item x="84"/>
        <item x="97"/>
        <item x="88"/>
        <item x="48"/>
        <item x="87"/>
        <item x="50"/>
        <item x="98"/>
        <item x="56"/>
        <item x="39"/>
        <item x="22"/>
        <item x="60"/>
        <item x="21"/>
        <item x="23"/>
        <item x="25"/>
        <item x="85"/>
        <item x="86"/>
        <item x="69"/>
        <item x="68"/>
        <item x="78"/>
        <item x="62"/>
        <item x="66"/>
        <item x="55"/>
        <item x="58"/>
        <item x="54"/>
        <item x="59"/>
        <item x="89"/>
        <item x="65"/>
        <item x="51"/>
        <item x="14"/>
        <item x="41"/>
        <item x="3"/>
        <item x="29"/>
        <item x="13"/>
        <item x="34"/>
        <item x="37"/>
        <item x="108"/>
        <item x="16"/>
        <item x="35"/>
        <item x="2"/>
        <item x="42"/>
        <item x="71"/>
        <item x="75"/>
        <item x="28"/>
        <item x="30"/>
        <item x="74"/>
        <item x="72"/>
        <item x="103"/>
        <item x="102"/>
        <item x="27"/>
        <item x="18"/>
        <item x="73"/>
        <item x="1"/>
        <item x="19"/>
        <item x="76"/>
        <item x="33"/>
        <item x="105"/>
        <item x="70"/>
        <item x="107"/>
        <item x="32"/>
        <item x="20"/>
        <item x="95"/>
        <item x="81"/>
        <item x="80"/>
        <item x="63"/>
        <item x="11"/>
        <item x="8"/>
        <item x="6"/>
        <item x="94"/>
        <item x="53"/>
        <item x="67"/>
        <item x="44"/>
        <item x="104"/>
        <item x="49"/>
        <item x="77"/>
        <item x="38"/>
        <item x="100"/>
        <item x="101"/>
        <item x="15"/>
        <item x="79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110">
    <i>
      <x v="37"/>
    </i>
    <i>
      <x v="101"/>
    </i>
    <i>
      <x v="94"/>
    </i>
    <i>
      <x v="14"/>
    </i>
    <i>
      <x v="22"/>
    </i>
    <i>
      <x v="19"/>
    </i>
    <i>
      <x v="15"/>
    </i>
    <i>
      <x v="1"/>
    </i>
    <i>
      <x v="48"/>
    </i>
    <i>
      <x v="90"/>
    </i>
    <i>
      <x v="46"/>
    </i>
    <i>
      <x v="41"/>
    </i>
    <i>
      <x v="91"/>
    </i>
    <i>
      <x v="51"/>
    </i>
    <i>
      <x v="4"/>
    </i>
    <i>
      <x v="40"/>
    </i>
    <i>
      <x v="43"/>
    </i>
    <i>
      <x v="38"/>
    </i>
    <i>
      <x v="10"/>
    </i>
    <i>
      <x v="79"/>
    </i>
    <i>
      <x v="72"/>
    </i>
    <i>
      <x v="89"/>
    </i>
    <i>
      <x v="47"/>
    </i>
    <i>
      <x v="95"/>
    </i>
    <i>
      <x v="9"/>
    </i>
    <i>
      <x v="3"/>
    </i>
    <i>
      <x v="42"/>
    </i>
    <i>
      <x v="87"/>
    </i>
    <i>
      <x v="83"/>
    </i>
    <i>
      <x v="66"/>
    </i>
    <i>
      <x v="7"/>
    </i>
    <i>
      <x v="81"/>
    </i>
    <i>
      <x v="2"/>
    </i>
    <i>
      <x v="6"/>
    </i>
    <i>
      <x v="78"/>
    </i>
    <i>
      <x v="53"/>
    </i>
    <i>
      <x v="97"/>
    </i>
    <i>
      <x v="13"/>
    </i>
    <i>
      <x v="17"/>
    </i>
    <i>
      <x v="92"/>
    </i>
    <i>
      <x v="88"/>
    </i>
    <i>
      <x v="80"/>
    </i>
    <i>
      <x v="11"/>
    </i>
    <i>
      <x v="5"/>
    </i>
    <i>
      <x v="73"/>
    </i>
    <i>
      <x v="63"/>
    </i>
    <i>
      <x v="104"/>
    </i>
    <i>
      <x v="84"/>
    </i>
    <i>
      <x v="77"/>
    </i>
    <i>
      <x v="69"/>
    </i>
    <i>
      <x v="49"/>
    </i>
    <i>
      <x/>
    </i>
    <i>
      <x v="100"/>
    </i>
    <i>
      <x v="61"/>
    </i>
    <i>
      <x v="82"/>
    </i>
    <i>
      <x v="50"/>
    </i>
    <i>
      <x v="65"/>
    </i>
    <i>
      <x v="71"/>
    </i>
    <i>
      <x v="86"/>
    </i>
    <i>
      <x v="54"/>
    </i>
    <i>
      <x v="26"/>
    </i>
    <i>
      <x v="44"/>
    </i>
    <i>
      <x v="39"/>
    </i>
    <i>
      <x v="68"/>
    </i>
    <i>
      <x v="60"/>
    </i>
    <i>
      <x v="36"/>
    </i>
    <i>
      <x v="12"/>
    </i>
    <i>
      <x v="20"/>
    </i>
    <i>
      <x v="70"/>
    </i>
    <i>
      <x v="58"/>
    </i>
    <i>
      <x v="33"/>
    </i>
    <i>
      <x v="67"/>
    </i>
    <i>
      <x v="103"/>
    </i>
    <i>
      <x v="59"/>
    </i>
    <i>
      <x v="25"/>
    </i>
    <i>
      <x v="105"/>
    </i>
    <i>
      <x v="55"/>
    </i>
    <i>
      <x v="16"/>
    </i>
    <i>
      <x v="102"/>
    </i>
    <i>
      <x v="32"/>
    </i>
    <i>
      <x v="34"/>
    </i>
    <i>
      <x v="45"/>
    </i>
    <i>
      <x v="106"/>
    </i>
    <i>
      <x v="21"/>
    </i>
    <i>
      <x v="23"/>
    </i>
    <i>
      <x v="18"/>
    </i>
    <i>
      <x v="99"/>
    </i>
    <i>
      <x v="56"/>
    </i>
    <i>
      <x v="24"/>
    </i>
    <i>
      <x v="64"/>
    </i>
    <i>
      <x v="35"/>
    </i>
    <i>
      <x v="8"/>
    </i>
    <i>
      <x v="27"/>
    </i>
    <i>
      <x v="98"/>
    </i>
    <i>
      <x v="28"/>
    </i>
    <i>
      <x v="57"/>
    </i>
    <i>
      <x v="52"/>
    </i>
    <i>
      <x v="62"/>
    </i>
    <i>
      <x v="29"/>
    </i>
    <i>
      <x v="107"/>
    </i>
    <i>
      <x v="30"/>
    </i>
    <i>
      <x v="96"/>
    </i>
    <i>
      <x v="93"/>
    </i>
    <i>
      <x v="31"/>
    </i>
    <i>
      <x v="75"/>
    </i>
    <i>
      <x v="85"/>
    </i>
    <i>
      <x v="108"/>
    </i>
    <i>
      <x v="76"/>
    </i>
    <i>
      <x v="74"/>
    </i>
    <i t="grand">
      <x/>
    </i>
  </rowItems>
  <colItems count="1">
    <i/>
  </colItems>
  <dataFields count="1">
    <dataField name="Count of Quantity" fld="3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0CC999-CEB3-4AD1-BEAD-7CB28EE6FE22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16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13">
        <item x="9"/>
        <item x="10"/>
        <item x="11"/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 Amoun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9DD16-BA8C-4571-9D59-1937E0E7F106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113" firstHeaderRow="1" firstDataRow="1" firstDataCol="1"/>
  <pivotFields count="12">
    <pivotField numFmtId="14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>
      <items count="65">
        <item x="36"/>
        <item x="50"/>
        <item x="17"/>
        <item x="16"/>
        <item x="13"/>
        <item x="58"/>
        <item x="3"/>
        <item x="54"/>
        <item x="24"/>
        <item x="37"/>
        <item x="55"/>
        <item x="21"/>
        <item x="15"/>
        <item x="26"/>
        <item x="28"/>
        <item x="20"/>
        <item x="59"/>
        <item x="8"/>
        <item x="32"/>
        <item x="0"/>
        <item x="18"/>
        <item x="7"/>
        <item x="29"/>
        <item x="62"/>
        <item x="48"/>
        <item x="45"/>
        <item x="25"/>
        <item x="33"/>
        <item x="9"/>
        <item x="41"/>
        <item x="43"/>
        <item x="31"/>
        <item x="34"/>
        <item x="61"/>
        <item x="4"/>
        <item x="49"/>
        <item x="44"/>
        <item x="22"/>
        <item x="19"/>
        <item x="30"/>
        <item x="10"/>
        <item x="60"/>
        <item x="23"/>
        <item x="12"/>
        <item x="56"/>
        <item x="1"/>
        <item x="6"/>
        <item x="35"/>
        <item x="47"/>
        <item x="39"/>
        <item x="14"/>
        <item x="27"/>
        <item x="5"/>
        <item x="46"/>
        <item x="53"/>
        <item x="2"/>
        <item x="42"/>
        <item x="63"/>
        <item x="38"/>
        <item x="57"/>
        <item x="40"/>
        <item x="11"/>
        <item x="51"/>
        <item x="52"/>
        <item t="default"/>
      </items>
    </pivotField>
    <pivotField axis="axisRow" showAll="0" sortType="descending">
      <items count="110">
        <item x="90"/>
        <item x="10"/>
        <item x="0"/>
        <item x="26"/>
        <item x="17"/>
        <item x="31"/>
        <item x="64"/>
        <item x="43"/>
        <item x="99"/>
        <item x="12"/>
        <item x="24"/>
        <item x="40"/>
        <item x="93"/>
        <item x="82"/>
        <item x="7"/>
        <item x="4"/>
        <item x="36"/>
        <item x="57"/>
        <item x="92"/>
        <item x="9"/>
        <item x="52"/>
        <item x="61"/>
        <item x="91"/>
        <item x="45"/>
        <item x="106"/>
        <item x="47"/>
        <item x="46"/>
        <item x="96"/>
        <item x="83"/>
        <item x="84"/>
        <item x="97"/>
        <item x="88"/>
        <item x="48"/>
        <item x="87"/>
        <item x="50"/>
        <item x="98"/>
        <item x="56"/>
        <item x="39"/>
        <item x="22"/>
        <item x="60"/>
        <item x="21"/>
        <item x="23"/>
        <item x="25"/>
        <item x="85"/>
        <item x="86"/>
        <item x="69"/>
        <item x="68"/>
        <item x="78"/>
        <item x="62"/>
        <item x="66"/>
        <item x="55"/>
        <item x="58"/>
        <item x="54"/>
        <item x="59"/>
        <item x="89"/>
        <item x="65"/>
        <item x="51"/>
        <item x="14"/>
        <item x="41"/>
        <item x="3"/>
        <item x="29"/>
        <item x="13"/>
        <item x="34"/>
        <item x="37"/>
        <item x="108"/>
        <item x="16"/>
        <item x="35"/>
        <item x="2"/>
        <item x="42"/>
        <item x="71"/>
        <item x="75"/>
        <item x="28"/>
        <item x="30"/>
        <item x="74"/>
        <item x="72"/>
        <item x="103"/>
        <item x="102"/>
        <item x="27"/>
        <item x="18"/>
        <item x="73"/>
        <item x="1"/>
        <item x="19"/>
        <item x="76"/>
        <item x="33"/>
        <item x="105"/>
        <item x="70"/>
        <item x="107"/>
        <item x="32"/>
        <item x="20"/>
        <item x="95"/>
        <item x="81"/>
        <item x="80"/>
        <item x="63"/>
        <item x="11"/>
        <item x="8"/>
        <item x="6"/>
        <item x="94"/>
        <item x="53"/>
        <item x="67"/>
        <item x="44"/>
        <item x="104"/>
        <item x="49"/>
        <item x="77"/>
        <item x="38"/>
        <item x="100"/>
        <item x="101"/>
        <item x="15"/>
        <item x="79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"/>
  </rowFields>
  <rowItems count="110">
    <i>
      <x v="37"/>
    </i>
    <i>
      <x v="101"/>
    </i>
    <i>
      <x v="94"/>
    </i>
    <i>
      <x v="22"/>
    </i>
    <i>
      <x v="14"/>
    </i>
    <i>
      <x v="9"/>
    </i>
    <i>
      <x v="46"/>
    </i>
    <i>
      <x v="43"/>
    </i>
    <i>
      <x v="48"/>
    </i>
    <i>
      <x v="19"/>
    </i>
    <i>
      <x v="1"/>
    </i>
    <i>
      <x v="51"/>
    </i>
    <i>
      <x v="47"/>
    </i>
    <i>
      <x v="40"/>
    </i>
    <i>
      <x v="15"/>
    </i>
    <i>
      <x v="81"/>
    </i>
    <i>
      <x v="90"/>
    </i>
    <i>
      <x v="89"/>
    </i>
    <i>
      <x v="4"/>
    </i>
    <i>
      <x v="95"/>
    </i>
    <i>
      <x v="91"/>
    </i>
    <i>
      <x v="41"/>
    </i>
    <i>
      <x v="38"/>
    </i>
    <i>
      <x v="10"/>
    </i>
    <i>
      <x v="79"/>
    </i>
    <i>
      <x v="72"/>
    </i>
    <i>
      <x v="49"/>
    </i>
    <i>
      <x v="42"/>
    </i>
    <i>
      <x v="44"/>
    </i>
    <i>
      <x v="97"/>
    </i>
    <i>
      <x v="5"/>
    </i>
    <i>
      <x v="3"/>
    </i>
    <i>
      <x v="83"/>
    </i>
    <i>
      <x v="2"/>
    </i>
    <i>
      <x v="6"/>
    </i>
    <i>
      <x v="66"/>
    </i>
    <i>
      <x v="87"/>
    </i>
    <i>
      <x v="7"/>
    </i>
    <i>
      <x v="13"/>
    </i>
    <i>
      <x v="32"/>
    </i>
    <i>
      <x v="78"/>
    </i>
    <i>
      <x v="88"/>
    </i>
    <i>
      <x v="74"/>
    </i>
    <i>
      <x v="11"/>
    </i>
    <i>
      <x/>
    </i>
    <i>
      <x v="53"/>
    </i>
    <i>
      <x v="36"/>
    </i>
    <i>
      <x v="73"/>
    </i>
    <i>
      <x v="63"/>
    </i>
    <i>
      <x v="39"/>
    </i>
    <i>
      <x v="20"/>
    </i>
    <i>
      <x v="84"/>
    </i>
    <i>
      <x v="80"/>
    </i>
    <i>
      <x v="21"/>
    </i>
    <i>
      <x v="65"/>
    </i>
    <i>
      <x v="17"/>
    </i>
    <i>
      <x v="12"/>
    </i>
    <i>
      <x v="92"/>
    </i>
    <i>
      <x v="26"/>
    </i>
    <i>
      <x v="98"/>
    </i>
    <i>
      <x v="82"/>
    </i>
    <i>
      <x v="104"/>
    </i>
    <i>
      <x v="61"/>
    </i>
    <i>
      <x v="29"/>
    </i>
    <i>
      <x v="28"/>
    </i>
    <i>
      <x v="68"/>
    </i>
    <i>
      <x v="77"/>
    </i>
    <i>
      <x v="69"/>
    </i>
    <i>
      <x v="86"/>
    </i>
    <i>
      <x v="50"/>
    </i>
    <i>
      <x v="62"/>
    </i>
    <i>
      <x v="54"/>
    </i>
    <i>
      <x v="59"/>
    </i>
    <i>
      <x v="67"/>
    </i>
    <i>
      <x v="64"/>
    </i>
    <i>
      <x v="71"/>
    </i>
    <i>
      <x v="103"/>
    </i>
    <i>
      <x v="106"/>
    </i>
    <i>
      <x v="23"/>
    </i>
    <i>
      <x v="45"/>
    </i>
    <i>
      <x v="96"/>
    </i>
    <i>
      <x v="25"/>
    </i>
    <i>
      <x v="58"/>
    </i>
    <i>
      <x v="60"/>
    </i>
    <i>
      <x v="102"/>
    </i>
    <i>
      <x v="107"/>
    </i>
    <i>
      <x v="99"/>
    </i>
    <i>
      <x v="100"/>
    </i>
    <i>
      <x v="70"/>
    </i>
    <i>
      <x v="34"/>
    </i>
    <i>
      <x v="16"/>
    </i>
    <i>
      <x v="30"/>
    </i>
    <i>
      <x v="105"/>
    </i>
    <i>
      <x v="57"/>
    </i>
    <i>
      <x v="56"/>
    </i>
    <i>
      <x v="55"/>
    </i>
    <i>
      <x v="27"/>
    </i>
    <i>
      <x v="33"/>
    </i>
    <i>
      <x v="18"/>
    </i>
    <i>
      <x v="24"/>
    </i>
    <i>
      <x v="52"/>
    </i>
    <i>
      <x v="93"/>
    </i>
    <i>
      <x v="108"/>
    </i>
    <i>
      <x v="75"/>
    </i>
    <i>
      <x v="35"/>
    </i>
    <i>
      <x v="76"/>
    </i>
    <i>
      <x v="85"/>
    </i>
    <i>
      <x v="8"/>
    </i>
    <i>
      <x v="31"/>
    </i>
    <i t="grand">
      <x/>
    </i>
  </rowItems>
  <colItems count="1">
    <i/>
  </colItems>
  <dataFields count="1">
    <dataField name="Sum of Total As Per Case" fld="5" baseField="0" baseItem="0"/>
  </dataFields>
  <chartFormats count="1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0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94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43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48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51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4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8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90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89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95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91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41"/>
          </reference>
        </references>
      </pivotArea>
    </chartFormat>
    <chartFormat chart="3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0"/>
          </reference>
          <reference field="2" count="1" selected="0">
            <x v="79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0"/>
          </reference>
          <reference field="2" count="1" selected="0">
            <x v="72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0"/>
          </reference>
          <reference field="2" count="1" selected="0">
            <x v="49"/>
          </reference>
        </references>
      </pivotArea>
    </chartFormat>
    <chartFormat chart="3" format="28">
      <pivotArea type="data" outline="0" fieldPosition="0">
        <references count="2">
          <reference field="4294967294" count="1" selected="0">
            <x v="0"/>
          </reference>
          <reference field="2" count="1" selected="0">
            <x v="42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0"/>
          </reference>
          <reference field="2" count="1" selected="0">
            <x v="44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0"/>
          </reference>
          <reference field="2" count="1" selected="0">
            <x v="97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33">
      <pivotArea type="data" outline="0" fieldPosition="0">
        <references count="2">
          <reference field="4294967294" count="1" selected="0">
            <x v="0"/>
          </reference>
          <reference field="2" count="1" selected="0">
            <x v="83"/>
          </reference>
        </references>
      </pivotArea>
    </chartFormat>
    <chartFormat chart="3" format="34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5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36">
      <pivotArea type="data" outline="0" fieldPosition="0">
        <references count="2">
          <reference field="4294967294" count="1" selected="0">
            <x v="0"/>
          </reference>
          <reference field="2" count="1" selected="0">
            <x v="66"/>
          </reference>
        </references>
      </pivotArea>
    </chartFormat>
    <chartFormat chart="3" format="37">
      <pivotArea type="data" outline="0" fieldPosition="0">
        <references count="2">
          <reference field="4294967294" count="1" selected="0">
            <x v="0"/>
          </reference>
          <reference field="2" count="1" selected="0">
            <x v="87"/>
          </reference>
        </references>
      </pivotArea>
    </chartFormat>
    <chartFormat chart="3" format="3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39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3" format="40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3" format="41">
      <pivotArea type="data" outline="0" fieldPosition="0">
        <references count="2">
          <reference field="4294967294" count="1" selected="0">
            <x v="0"/>
          </reference>
          <reference field="2" count="1" selected="0">
            <x v="78"/>
          </reference>
        </references>
      </pivotArea>
    </chartFormat>
    <chartFormat chart="3" format="42">
      <pivotArea type="data" outline="0" fieldPosition="0">
        <references count="2">
          <reference field="4294967294" count="1" selected="0">
            <x v="0"/>
          </reference>
          <reference field="2" count="1" selected="0">
            <x v="88"/>
          </reference>
        </references>
      </pivotArea>
    </chartFormat>
    <chartFormat chart="3" format="43">
      <pivotArea type="data" outline="0" fieldPosition="0">
        <references count="2">
          <reference field="4294967294" count="1" selected="0">
            <x v="0"/>
          </reference>
          <reference field="2" count="1" selected="0">
            <x v="74"/>
          </reference>
        </references>
      </pivotArea>
    </chartFormat>
    <chartFormat chart="3" format="44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3" format="4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46">
      <pivotArea type="data" outline="0" fieldPosition="0">
        <references count="2">
          <reference field="4294967294" count="1" selected="0">
            <x v="0"/>
          </reference>
          <reference field="2" count="1" selected="0">
            <x v="53"/>
          </reference>
        </references>
      </pivotArea>
    </chartFormat>
    <chartFormat chart="3" format="47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3" format="48">
      <pivotArea type="data" outline="0" fieldPosition="0">
        <references count="2">
          <reference field="4294967294" count="1" selected="0">
            <x v="0"/>
          </reference>
          <reference field="2" count="1" selected="0">
            <x v="73"/>
          </reference>
        </references>
      </pivotArea>
    </chartFormat>
    <chartFormat chart="3" format="49">
      <pivotArea type="data" outline="0" fieldPosition="0">
        <references count="2">
          <reference field="4294967294" count="1" selected="0">
            <x v="0"/>
          </reference>
          <reference field="2" count="1" selected="0">
            <x v="63"/>
          </reference>
        </references>
      </pivotArea>
    </chartFormat>
    <chartFormat chart="3" format="50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3" format="5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3" format="52">
      <pivotArea type="data" outline="0" fieldPosition="0">
        <references count="2">
          <reference field="4294967294" count="1" selected="0">
            <x v="0"/>
          </reference>
          <reference field="2" count="1" selected="0">
            <x v="84"/>
          </reference>
        </references>
      </pivotArea>
    </chartFormat>
    <chartFormat chart="3" format="53">
      <pivotArea type="data" outline="0" fieldPosition="0">
        <references count="2">
          <reference field="4294967294" count="1" selected="0">
            <x v="0"/>
          </reference>
          <reference field="2" count="1" selected="0">
            <x v="80"/>
          </reference>
        </references>
      </pivotArea>
    </chartFormat>
    <chartFormat chart="3" format="54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3" format="55">
      <pivotArea type="data" outline="0" fieldPosition="0">
        <references count="2">
          <reference field="4294967294" count="1" selected="0">
            <x v="0"/>
          </reference>
          <reference field="2" count="1" selected="0">
            <x v="65"/>
          </reference>
        </references>
      </pivotArea>
    </chartFormat>
    <chartFormat chart="3" format="56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3" format="57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3" format="58">
      <pivotArea type="data" outline="0" fieldPosition="0">
        <references count="2">
          <reference field="4294967294" count="1" selected="0">
            <x v="0"/>
          </reference>
          <reference field="2" count="1" selected="0">
            <x v="92"/>
          </reference>
        </references>
      </pivotArea>
    </chartFormat>
    <chartFormat chart="3" format="59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3" format="60">
      <pivotArea type="data" outline="0" fieldPosition="0">
        <references count="2">
          <reference field="4294967294" count="1" selected="0">
            <x v="0"/>
          </reference>
          <reference field="2" count="1" selected="0">
            <x v="98"/>
          </reference>
        </references>
      </pivotArea>
    </chartFormat>
    <chartFormat chart="3" format="61">
      <pivotArea type="data" outline="0" fieldPosition="0">
        <references count="2">
          <reference field="4294967294" count="1" selected="0">
            <x v="0"/>
          </reference>
          <reference field="2" count="1" selected="0">
            <x v="82"/>
          </reference>
        </references>
      </pivotArea>
    </chartFormat>
    <chartFormat chart="3" format="62">
      <pivotArea type="data" outline="0" fieldPosition="0">
        <references count="2">
          <reference field="4294967294" count="1" selected="0">
            <x v="0"/>
          </reference>
          <reference field="2" count="1" selected="0">
            <x v="104"/>
          </reference>
        </references>
      </pivotArea>
    </chartFormat>
    <chartFormat chart="3" format="63">
      <pivotArea type="data" outline="0" fieldPosition="0">
        <references count="2">
          <reference field="4294967294" count="1" selected="0">
            <x v="0"/>
          </reference>
          <reference field="2" count="1" selected="0">
            <x v="61"/>
          </reference>
        </references>
      </pivotArea>
    </chartFormat>
    <chartFormat chart="3" format="64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3" format="65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3" format="66">
      <pivotArea type="data" outline="0" fieldPosition="0">
        <references count="2">
          <reference field="4294967294" count="1" selected="0">
            <x v="0"/>
          </reference>
          <reference field="2" count="1" selected="0">
            <x v="68"/>
          </reference>
        </references>
      </pivotArea>
    </chartFormat>
    <chartFormat chart="3" format="67">
      <pivotArea type="data" outline="0" fieldPosition="0">
        <references count="2">
          <reference field="4294967294" count="1" selected="0">
            <x v="0"/>
          </reference>
          <reference field="2" count="1" selected="0">
            <x v="77"/>
          </reference>
        </references>
      </pivotArea>
    </chartFormat>
    <chartFormat chart="3" format="68">
      <pivotArea type="data" outline="0" fieldPosition="0">
        <references count="2">
          <reference field="4294967294" count="1" selected="0">
            <x v="0"/>
          </reference>
          <reference field="2" count="1" selected="0">
            <x v="69"/>
          </reference>
        </references>
      </pivotArea>
    </chartFormat>
    <chartFormat chart="3" format="69">
      <pivotArea type="data" outline="0" fieldPosition="0">
        <references count="2">
          <reference field="4294967294" count="1" selected="0">
            <x v="0"/>
          </reference>
          <reference field="2" count="1" selected="0">
            <x v="86"/>
          </reference>
        </references>
      </pivotArea>
    </chartFormat>
    <chartFormat chart="3" format="70">
      <pivotArea type="data" outline="0" fieldPosition="0">
        <references count="2">
          <reference field="4294967294" count="1" selected="0">
            <x v="0"/>
          </reference>
          <reference field="2" count="1" selected="0">
            <x v="50"/>
          </reference>
        </references>
      </pivotArea>
    </chartFormat>
    <chartFormat chart="3" format="71">
      <pivotArea type="data" outline="0" fieldPosition="0">
        <references count="2">
          <reference field="4294967294" count="1" selected="0">
            <x v="0"/>
          </reference>
          <reference field="2" count="1" selected="0">
            <x v="62"/>
          </reference>
        </references>
      </pivotArea>
    </chartFormat>
    <chartFormat chart="3" format="72">
      <pivotArea type="data" outline="0" fieldPosition="0">
        <references count="2">
          <reference field="4294967294" count="1" selected="0">
            <x v="0"/>
          </reference>
          <reference field="2" count="1" selected="0">
            <x v="54"/>
          </reference>
        </references>
      </pivotArea>
    </chartFormat>
    <chartFormat chart="3" format="73">
      <pivotArea type="data" outline="0" fieldPosition="0">
        <references count="2">
          <reference field="4294967294" count="1" selected="0">
            <x v="0"/>
          </reference>
          <reference field="2" count="1" selected="0">
            <x v="59"/>
          </reference>
        </references>
      </pivotArea>
    </chartFormat>
    <chartFormat chart="3" format="74">
      <pivotArea type="data" outline="0" fieldPosition="0">
        <references count="2">
          <reference field="4294967294" count="1" selected="0">
            <x v="0"/>
          </reference>
          <reference field="2" count="1" selected="0">
            <x v="67"/>
          </reference>
        </references>
      </pivotArea>
    </chartFormat>
    <chartFormat chart="3" format="75">
      <pivotArea type="data" outline="0" fieldPosition="0">
        <references count="2">
          <reference field="4294967294" count="1" selected="0">
            <x v="0"/>
          </reference>
          <reference field="2" count="1" selected="0">
            <x v="64"/>
          </reference>
        </references>
      </pivotArea>
    </chartFormat>
    <chartFormat chart="3" format="76">
      <pivotArea type="data" outline="0" fieldPosition="0">
        <references count="2">
          <reference field="4294967294" count="1" selected="0">
            <x v="0"/>
          </reference>
          <reference field="2" count="1" selected="0">
            <x v="71"/>
          </reference>
        </references>
      </pivotArea>
    </chartFormat>
    <chartFormat chart="3" format="77">
      <pivotArea type="data" outline="0" fieldPosition="0">
        <references count="2">
          <reference field="4294967294" count="1" selected="0">
            <x v="0"/>
          </reference>
          <reference field="2" count="1" selected="0">
            <x v="103"/>
          </reference>
        </references>
      </pivotArea>
    </chartFormat>
    <chartFormat chart="3" format="78">
      <pivotArea type="data" outline="0" fieldPosition="0">
        <references count="2">
          <reference field="4294967294" count="1" selected="0">
            <x v="0"/>
          </reference>
          <reference field="2" count="1" selected="0">
            <x v="106"/>
          </reference>
        </references>
      </pivotArea>
    </chartFormat>
    <chartFormat chart="3" format="79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3" format="80">
      <pivotArea type="data" outline="0" fieldPosition="0">
        <references count="2">
          <reference field="4294967294" count="1" selected="0">
            <x v="0"/>
          </reference>
          <reference field="2" count="1" selected="0">
            <x v="45"/>
          </reference>
        </references>
      </pivotArea>
    </chartFormat>
    <chartFormat chart="3" format="81">
      <pivotArea type="data" outline="0" fieldPosition="0">
        <references count="2">
          <reference field="4294967294" count="1" selected="0">
            <x v="0"/>
          </reference>
          <reference field="2" count="1" selected="0">
            <x v="96"/>
          </reference>
        </references>
      </pivotArea>
    </chartFormat>
    <chartFormat chart="3" format="82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3" format="83">
      <pivotArea type="data" outline="0" fieldPosition="0">
        <references count="2">
          <reference field="4294967294" count="1" selected="0">
            <x v="0"/>
          </reference>
          <reference field="2" count="1" selected="0">
            <x v="58"/>
          </reference>
        </references>
      </pivotArea>
    </chartFormat>
    <chartFormat chart="3" format="84">
      <pivotArea type="data" outline="0" fieldPosition="0">
        <references count="2">
          <reference field="4294967294" count="1" selected="0">
            <x v="0"/>
          </reference>
          <reference field="2" count="1" selected="0">
            <x v="60"/>
          </reference>
        </references>
      </pivotArea>
    </chartFormat>
    <chartFormat chart="3" format="85">
      <pivotArea type="data" outline="0" fieldPosition="0">
        <references count="2">
          <reference field="4294967294" count="1" selected="0">
            <x v="0"/>
          </reference>
          <reference field="2" count="1" selected="0">
            <x v="102"/>
          </reference>
        </references>
      </pivotArea>
    </chartFormat>
    <chartFormat chart="3" format="86">
      <pivotArea type="data" outline="0" fieldPosition="0">
        <references count="2">
          <reference field="4294967294" count="1" selected="0">
            <x v="0"/>
          </reference>
          <reference field="2" count="1" selected="0">
            <x v="107"/>
          </reference>
        </references>
      </pivotArea>
    </chartFormat>
    <chartFormat chart="3" format="87">
      <pivotArea type="data" outline="0" fieldPosition="0">
        <references count="2">
          <reference field="4294967294" count="1" selected="0">
            <x v="0"/>
          </reference>
          <reference field="2" count="1" selected="0">
            <x v="99"/>
          </reference>
        </references>
      </pivotArea>
    </chartFormat>
    <chartFormat chart="3" format="88">
      <pivotArea type="data" outline="0" fieldPosition="0">
        <references count="2">
          <reference field="4294967294" count="1" selected="0">
            <x v="0"/>
          </reference>
          <reference field="2" count="1" selected="0">
            <x v="100"/>
          </reference>
        </references>
      </pivotArea>
    </chartFormat>
    <chartFormat chart="3" format="89">
      <pivotArea type="data" outline="0" fieldPosition="0">
        <references count="2">
          <reference field="4294967294" count="1" selected="0">
            <x v="0"/>
          </reference>
          <reference field="2" count="1" selected="0">
            <x v="70"/>
          </reference>
        </references>
      </pivotArea>
    </chartFormat>
    <chartFormat chart="3" format="90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3" format="9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3" format="92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3" format="93">
      <pivotArea type="data" outline="0" fieldPosition="0">
        <references count="2">
          <reference field="4294967294" count="1" selected="0">
            <x v="0"/>
          </reference>
          <reference field="2" count="1" selected="0">
            <x v="105"/>
          </reference>
        </references>
      </pivotArea>
    </chartFormat>
    <chartFormat chart="3" format="94">
      <pivotArea type="data" outline="0" fieldPosition="0">
        <references count="2">
          <reference field="4294967294" count="1" selected="0">
            <x v="0"/>
          </reference>
          <reference field="2" count="1" selected="0">
            <x v="57"/>
          </reference>
        </references>
      </pivotArea>
    </chartFormat>
    <chartFormat chart="3" format="95">
      <pivotArea type="data" outline="0" fieldPosition="0">
        <references count="2">
          <reference field="4294967294" count="1" selected="0">
            <x v="0"/>
          </reference>
          <reference field="2" count="1" selected="0">
            <x v="56"/>
          </reference>
        </references>
      </pivotArea>
    </chartFormat>
    <chartFormat chart="3" format="96">
      <pivotArea type="data" outline="0" fieldPosition="0">
        <references count="2">
          <reference field="4294967294" count="1" selected="0">
            <x v="0"/>
          </reference>
          <reference field="2" count="1" selected="0">
            <x v="55"/>
          </reference>
        </references>
      </pivotArea>
    </chartFormat>
    <chartFormat chart="3" format="97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3" format="98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3" format="99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3" format="100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3" format="101">
      <pivotArea type="data" outline="0" fieldPosition="0">
        <references count="2">
          <reference field="4294967294" count="1" selected="0">
            <x v="0"/>
          </reference>
          <reference field="2" count="1" selected="0">
            <x v="52"/>
          </reference>
        </references>
      </pivotArea>
    </chartFormat>
    <chartFormat chart="3" format="102">
      <pivotArea type="data" outline="0" fieldPosition="0">
        <references count="2">
          <reference field="4294967294" count="1" selected="0">
            <x v="0"/>
          </reference>
          <reference field="2" count="1" selected="0">
            <x v="93"/>
          </reference>
        </references>
      </pivotArea>
    </chartFormat>
    <chartFormat chart="3" format="103">
      <pivotArea type="data" outline="0" fieldPosition="0">
        <references count="2">
          <reference field="4294967294" count="1" selected="0">
            <x v="0"/>
          </reference>
          <reference field="2" count="1" selected="0">
            <x v="108"/>
          </reference>
        </references>
      </pivotArea>
    </chartFormat>
    <chartFormat chart="3" format="104">
      <pivotArea type="data" outline="0" fieldPosition="0">
        <references count="2">
          <reference field="4294967294" count="1" selected="0">
            <x v="0"/>
          </reference>
          <reference field="2" count="1" selected="0">
            <x v="75"/>
          </reference>
        </references>
      </pivotArea>
    </chartFormat>
    <chartFormat chart="3" format="105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3" format="106">
      <pivotArea type="data" outline="0" fieldPosition="0">
        <references count="2">
          <reference field="4294967294" count="1" selected="0">
            <x v="0"/>
          </reference>
          <reference field="2" count="1" selected="0">
            <x v="76"/>
          </reference>
        </references>
      </pivotArea>
    </chartFormat>
    <chartFormat chart="3" format="107">
      <pivotArea type="data" outline="0" fieldPosition="0">
        <references count="2">
          <reference field="4294967294" count="1" selected="0">
            <x v="0"/>
          </reference>
          <reference field="2" count="1" selected="0">
            <x v="85"/>
          </reference>
        </references>
      </pivotArea>
    </chartFormat>
    <chartFormat chart="3" format="108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109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26D24-41F1-4C2E-80D0-AB537C2E4BF8}">
  <dimension ref="A3:B113"/>
  <sheetViews>
    <sheetView topLeftCell="A6" workbookViewId="0">
      <selection activeCell="B4" sqref="B4"/>
    </sheetView>
  </sheetViews>
  <sheetFormatPr defaultRowHeight="14.4" x14ac:dyDescent="0.3"/>
  <cols>
    <col min="1" max="1" width="36.6640625" bestFit="1" customWidth="1"/>
    <col min="2" max="2" width="22" bestFit="1" customWidth="1"/>
  </cols>
  <sheetData>
    <row r="3" spans="1:2" x14ac:dyDescent="0.3">
      <c r="A3" s="2" t="s">
        <v>421</v>
      </c>
      <c r="B3" t="s">
        <v>429</v>
      </c>
    </row>
    <row r="4" spans="1:2" x14ac:dyDescent="0.3">
      <c r="A4" s="3" t="s">
        <v>40</v>
      </c>
      <c r="B4">
        <v>1932875</v>
      </c>
    </row>
    <row r="5" spans="1:2" x14ac:dyDescent="0.3">
      <c r="A5" s="3" t="s">
        <v>94</v>
      </c>
      <c r="B5">
        <v>677430</v>
      </c>
    </row>
    <row r="6" spans="1:2" x14ac:dyDescent="0.3">
      <c r="A6" s="3" t="s">
        <v>98</v>
      </c>
      <c r="B6">
        <v>642692</v>
      </c>
    </row>
    <row r="7" spans="1:2" x14ac:dyDescent="0.3">
      <c r="A7" s="3" t="s">
        <v>359</v>
      </c>
      <c r="B7">
        <v>412660</v>
      </c>
    </row>
    <row r="8" spans="1:2" x14ac:dyDescent="0.3">
      <c r="A8" s="3" t="s">
        <v>38</v>
      </c>
      <c r="B8">
        <v>229162</v>
      </c>
    </row>
    <row r="9" spans="1:2" x14ac:dyDescent="0.3">
      <c r="A9" s="3" t="s">
        <v>194</v>
      </c>
      <c r="B9">
        <v>174005</v>
      </c>
    </row>
    <row r="10" spans="1:2" x14ac:dyDescent="0.3">
      <c r="A10" s="3" t="s">
        <v>33</v>
      </c>
      <c r="B10">
        <v>142437</v>
      </c>
    </row>
    <row r="11" spans="1:2" x14ac:dyDescent="0.3">
      <c r="A11" s="3" t="s">
        <v>338</v>
      </c>
      <c r="B11">
        <v>141450</v>
      </c>
    </row>
    <row r="12" spans="1:2" x14ac:dyDescent="0.3">
      <c r="A12" s="3" t="s">
        <v>22</v>
      </c>
      <c r="B12">
        <v>129243</v>
      </c>
    </row>
    <row r="13" spans="1:2" x14ac:dyDescent="0.3">
      <c r="A13" s="3" t="s">
        <v>11</v>
      </c>
      <c r="B13">
        <v>110652</v>
      </c>
    </row>
    <row r="14" spans="1:2" x14ac:dyDescent="0.3">
      <c r="A14" s="3" t="s">
        <v>108</v>
      </c>
      <c r="B14">
        <v>88135</v>
      </c>
    </row>
    <row r="15" spans="1:2" x14ac:dyDescent="0.3">
      <c r="A15" s="3" t="s">
        <v>293</v>
      </c>
      <c r="B15">
        <v>65205</v>
      </c>
    </row>
    <row r="16" spans="1:2" x14ac:dyDescent="0.3">
      <c r="A16" s="3" t="s">
        <v>173</v>
      </c>
      <c r="B16">
        <v>59665</v>
      </c>
    </row>
    <row r="17" spans="1:2" x14ac:dyDescent="0.3">
      <c r="A17" s="3" t="s">
        <v>123</v>
      </c>
      <c r="B17">
        <v>57900</v>
      </c>
    </row>
    <row r="18" spans="1:2" x14ac:dyDescent="0.3">
      <c r="A18" s="3" t="s">
        <v>148</v>
      </c>
      <c r="B18">
        <v>56545</v>
      </c>
    </row>
    <row r="19" spans="1:2" x14ac:dyDescent="0.3">
      <c r="A19" s="3" t="s">
        <v>112</v>
      </c>
      <c r="B19">
        <v>56125</v>
      </c>
    </row>
    <row r="20" spans="1:2" x14ac:dyDescent="0.3">
      <c r="A20" s="3" t="s">
        <v>325</v>
      </c>
      <c r="B20">
        <v>53505</v>
      </c>
    </row>
    <row r="21" spans="1:2" x14ac:dyDescent="0.3">
      <c r="A21" s="3" t="s">
        <v>364</v>
      </c>
      <c r="B21">
        <v>51220</v>
      </c>
    </row>
    <row r="22" spans="1:2" x14ac:dyDescent="0.3">
      <c r="A22" s="3" t="s">
        <v>204</v>
      </c>
      <c r="B22">
        <v>48789</v>
      </c>
    </row>
    <row r="23" spans="1:2" x14ac:dyDescent="0.3">
      <c r="A23" s="3" t="s">
        <v>211</v>
      </c>
      <c r="B23">
        <v>46040</v>
      </c>
    </row>
    <row r="24" spans="1:2" x14ac:dyDescent="0.3">
      <c r="A24" s="3" t="s">
        <v>324</v>
      </c>
      <c r="B24">
        <v>45620</v>
      </c>
    </row>
    <row r="25" spans="1:2" x14ac:dyDescent="0.3">
      <c r="A25" s="3" t="s">
        <v>101</v>
      </c>
      <c r="B25">
        <v>41840</v>
      </c>
    </row>
    <row r="26" spans="1:2" x14ac:dyDescent="0.3">
      <c r="A26" s="3" t="s">
        <v>142</v>
      </c>
      <c r="B26">
        <v>41510</v>
      </c>
    </row>
    <row r="27" spans="1:2" x14ac:dyDescent="0.3">
      <c r="A27" s="3" t="s">
        <v>44</v>
      </c>
      <c r="B27">
        <v>38166</v>
      </c>
    </row>
    <row r="28" spans="1:2" x14ac:dyDescent="0.3">
      <c r="A28" s="3" t="s">
        <v>133</v>
      </c>
      <c r="B28">
        <v>37799</v>
      </c>
    </row>
    <row r="29" spans="1:2" x14ac:dyDescent="0.3">
      <c r="A29" s="3" t="s">
        <v>134</v>
      </c>
      <c r="B29">
        <v>33085</v>
      </c>
    </row>
    <row r="30" spans="1:2" x14ac:dyDescent="0.3">
      <c r="A30" s="3" t="s">
        <v>271</v>
      </c>
      <c r="B30">
        <v>31360</v>
      </c>
    </row>
    <row r="31" spans="1:2" x14ac:dyDescent="0.3">
      <c r="A31" s="3" t="s">
        <v>125</v>
      </c>
      <c r="B31">
        <v>26240</v>
      </c>
    </row>
    <row r="32" spans="1:2" x14ac:dyDescent="0.3">
      <c r="A32" s="3" t="s">
        <v>339</v>
      </c>
      <c r="B32">
        <v>25000</v>
      </c>
    </row>
    <row r="33" spans="1:2" x14ac:dyDescent="0.3">
      <c r="A33" s="3" t="s">
        <v>213</v>
      </c>
      <c r="B33">
        <v>24170</v>
      </c>
    </row>
    <row r="34" spans="1:2" x14ac:dyDescent="0.3">
      <c r="A34" s="3" t="s">
        <v>176</v>
      </c>
      <c r="B34">
        <v>23550</v>
      </c>
    </row>
    <row r="35" spans="1:2" x14ac:dyDescent="0.3">
      <c r="A35" s="3" t="s">
        <v>231</v>
      </c>
      <c r="B35">
        <v>18595</v>
      </c>
    </row>
    <row r="36" spans="1:2" x14ac:dyDescent="0.3">
      <c r="A36" s="3" t="s">
        <v>165</v>
      </c>
      <c r="B36">
        <v>18452</v>
      </c>
    </row>
    <row r="37" spans="1:2" x14ac:dyDescent="0.3">
      <c r="A37" s="3" t="s">
        <v>135</v>
      </c>
      <c r="B37">
        <v>16720</v>
      </c>
    </row>
    <row r="38" spans="1:2" x14ac:dyDescent="0.3">
      <c r="A38" s="3" t="s">
        <v>219</v>
      </c>
      <c r="B38">
        <v>16102</v>
      </c>
    </row>
    <row r="39" spans="1:2" x14ac:dyDescent="0.3">
      <c r="A39" s="3" t="s">
        <v>198</v>
      </c>
      <c r="B39">
        <v>15984</v>
      </c>
    </row>
    <row r="40" spans="1:2" x14ac:dyDescent="0.3">
      <c r="A40" s="3" t="s">
        <v>235</v>
      </c>
      <c r="B40">
        <v>14050</v>
      </c>
    </row>
    <row r="41" spans="1:2" x14ac:dyDescent="0.3">
      <c r="A41" s="3" t="s">
        <v>225</v>
      </c>
      <c r="B41">
        <v>12840</v>
      </c>
    </row>
    <row r="42" spans="1:2" x14ac:dyDescent="0.3">
      <c r="A42" s="3" t="s">
        <v>171</v>
      </c>
      <c r="B42">
        <v>12725</v>
      </c>
    </row>
    <row r="43" spans="1:2" x14ac:dyDescent="0.3">
      <c r="A43" s="3" t="s">
        <v>270</v>
      </c>
      <c r="B43">
        <v>12000</v>
      </c>
    </row>
    <row r="44" spans="1:2" x14ac:dyDescent="0.3">
      <c r="A44" s="3" t="s">
        <v>216</v>
      </c>
      <c r="B44">
        <v>11640</v>
      </c>
    </row>
    <row r="45" spans="1:2" x14ac:dyDescent="0.3">
      <c r="A45" s="3" t="s">
        <v>152</v>
      </c>
      <c r="B45">
        <v>11570</v>
      </c>
    </row>
    <row r="46" spans="1:2" x14ac:dyDescent="0.3">
      <c r="A46" s="3" t="s">
        <v>197</v>
      </c>
      <c r="B46">
        <v>11090</v>
      </c>
    </row>
    <row r="47" spans="1:2" x14ac:dyDescent="0.3">
      <c r="A47" s="3" t="s">
        <v>111</v>
      </c>
      <c r="B47">
        <v>10555</v>
      </c>
    </row>
    <row r="48" spans="1:2" x14ac:dyDescent="0.3">
      <c r="A48" s="3" t="s">
        <v>29</v>
      </c>
      <c r="B48">
        <v>10372</v>
      </c>
    </row>
    <row r="49" spans="1:2" x14ac:dyDescent="0.3">
      <c r="A49" s="3" t="s">
        <v>294</v>
      </c>
      <c r="B49">
        <v>10080</v>
      </c>
    </row>
    <row r="50" spans="1:2" x14ac:dyDescent="0.3">
      <c r="A50" s="3" t="s">
        <v>87</v>
      </c>
      <c r="B50">
        <v>9990</v>
      </c>
    </row>
    <row r="51" spans="1:2" x14ac:dyDescent="0.3">
      <c r="A51" s="3" t="s">
        <v>136</v>
      </c>
      <c r="B51">
        <v>9685</v>
      </c>
    </row>
    <row r="52" spans="1:2" x14ac:dyDescent="0.3">
      <c r="A52" s="3" t="s">
        <v>146</v>
      </c>
      <c r="B52">
        <v>8555</v>
      </c>
    </row>
    <row r="53" spans="1:2" x14ac:dyDescent="0.3">
      <c r="A53" s="3" t="s">
        <v>191</v>
      </c>
      <c r="B53">
        <v>8475</v>
      </c>
    </row>
    <row r="54" spans="1:2" x14ac:dyDescent="0.3">
      <c r="A54" s="3" t="s">
        <v>4</v>
      </c>
      <c r="B54">
        <v>8400</v>
      </c>
    </row>
    <row r="55" spans="1:2" x14ac:dyDescent="0.3">
      <c r="A55" s="3" t="s">
        <v>394</v>
      </c>
      <c r="B55">
        <v>7885</v>
      </c>
    </row>
    <row r="56" spans="1:2" x14ac:dyDescent="0.3">
      <c r="A56" s="3" t="s">
        <v>116</v>
      </c>
      <c r="B56">
        <v>7730</v>
      </c>
    </row>
    <row r="57" spans="1:2" x14ac:dyDescent="0.3">
      <c r="A57" s="3" t="s">
        <v>68</v>
      </c>
      <c r="B57">
        <v>7305</v>
      </c>
    </row>
    <row r="58" spans="1:2" x14ac:dyDescent="0.3">
      <c r="A58" s="3" t="s">
        <v>246</v>
      </c>
      <c r="B58">
        <v>6750</v>
      </c>
    </row>
    <row r="59" spans="1:2" x14ac:dyDescent="0.3">
      <c r="A59" s="3" t="s">
        <v>42</v>
      </c>
      <c r="B59">
        <v>6745</v>
      </c>
    </row>
    <row r="60" spans="1:2" x14ac:dyDescent="0.3">
      <c r="A60" s="3" t="s">
        <v>221</v>
      </c>
      <c r="B60">
        <v>6649.97</v>
      </c>
    </row>
    <row r="61" spans="1:2" x14ac:dyDescent="0.3">
      <c r="A61" s="3" t="s">
        <v>188</v>
      </c>
      <c r="B61">
        <v>6457</v>
      </c>
    </row>
    <row r="62" spans="1:2" x14ac:dyDescent="0.3">
      <c r="A62" s="3" t="s">
        <v>56</v>
      </c>
      <c r="B62">
        <v>5925</v>
      </c>
    </row>
    <row r="63" spans="1:2" x14ac:dyDescent="0.3">
      <c r="A63" s="3" t="s">
        <v>301</v>
      </c>
      <c r="B63">
        <v>5040</v>
      </c>
    </row>
    <row r="64" spans="1:2" x14ac:dyDescent="0.3">
      <c r="A64" s="3" t="s">
        <v>147</v>
      </c>
      <c r="B64">
        <v>4965</v>
      </c>
    </row>
    <row r="65" spans="1:2" x14ac:dyDescent="0.3">
      <c r="A65" s="3" t="s">
        <v>381</v>
      </c>
      <c r="B65">
        <v>4690</v>
      </c>
    </row>
    <row r="66" spans="1:2" x14ac:dyDescent="0.3">
      <c r="A66" s="3" t="s">
        <v>256</v>
      </c>
      <c r="B66">
        <v>4535</v>
      </c>
    </row>
    <row r="67" spans="1:2" x14ac:dyDescent="0.3">
      <c r="A67" s="3" t="s">
        <v>121</v>
      </c>
      <c r="B67">
        <v>4320</v>
      </c>
    </row>
    <row r="68" spans="1:2" x14ac:dyDescent="0.3">
      <c r="A68" s="3" t="s">
        <v>57</v>
      </c>
      <c r="B68">
        <v>4320</v>
      </c>
    </row>
    <row r="69" spans="1:2" x14ac:dyDescent="0.3">
      <c r="A69" s="3" t="s">
        <v>239</v>
      </c>
      <c r="B69">
        <v>4190</v>
      </c>
    </row>
    <row r="70" spans="1:2" x14ac:dyDescent="0.3">
      <c r="A70" s="3" t="s">
        <v>175</v>
      </c>
      <c r="B70">
        <v>4045</v>
      </c>
    </row>
    <row r="71" spans="1:2" x14ac:dyDescent="0.3">
      <c r="A71" s="3" t="s">
        <v>307</v>
      </c>
      <c r="B71">
        <v>3980</v>
      </c>
    </row>
    <row r="72" spans="1:2" x14ac:dyDescent="0.3">
      <c r="A72" s="3" t="s">
        <v>252</v>
      </c>
      <c r="B72">
        <v>3760</v>
      </c>
    </row>
    <row r="73" spans="1:2" x14ac:dyDescent="0.3">
      <c r="A73" s="3" t="s">
        <v>266</v>
      </c>
      <c r="B73">
        <v>3650</v>
      </c>
    </row>
    <row r="74" spans="1:2" x14ac:dyDescent="0.3">
      <c r="A74" s="3" t="s">
        <v>233</v>
      </c>
      <c r="B74">
        <v>3240</v>
      </c>
    </row>
    <row r="75" spans="1:2" x14ac:dyDescent="0.3">
      <c r="A75" s="3" t="s">
        <v>89</v>
      </c>
      <c r="B75">
        <v>3230</v>
      </c>
    </row>
    <row r="76" spans="1:2" x14ac:dyDescent="0.3">
      <c r="A76" s="3" t="s">
        <v>114</v>
      </c>
      <c r="B76">
        <v>3205</v>
      </c>
    </row>
    <row r="77" spans="1:2" x14ac:dyDescent="0.3">
      <c r="A77" s="3" t="s">
        <v>140</v>
      </c>
      <c r="B77">
        <v>3205</v>
      </c>
    </row>
    <row r="78" spans="1:2" x14ac:dyDescent="0.3">
      <c r="A78" s="3" t="s">
        <v>206</v>
      </c>
      <c r="B78">
        <v>3150</v>
      </c>
    </row>
    <row r="79" spans="1:2" x14ac:dyDescent="0.3">
      <c r="A79" s="3" t="s">
        <v>187</v>
      </c>
      <c r="B79">
        <v>2755</v>
      </c>
    </row>
    <row r="80" spans="1:2" x14ac:dyDescent="0.3">
      <c r="A80" s="3" t="s">
        <v>169</v>
      </c>
      <c r="B80">
        <v>2620</v>
      </c>
    </row>
    <row r="81" spans="1:2" x14ac:dyDescent="0.3">
      <c r="A81" s="3" t="s">
        <v>106</v>
      </c>
      <c r="B81">
        <v>2580</v>
      </c>
    </row>
    <row r="82" spans="1:2" x14ac:dyDescent="0.3">
      <c r="A82" s="3" t="s">
        <v>21</v>
      </c>
      <c r="B82">
        <v>2540</v>
      </c>
    </row>
    <row r="83" spans="1:2" x14ac:dyDescent="0.3">
      <c r="A83" s="3" t="s">
        <v>259</v>
      </c>
      <c r="B83">
        <v>2335</v>
      </c>
    </row>
    <row r="84" spans="1:2" x14ac:dyDescent="0.3">
      <c r="A84" s="3" t="s">
        <v>159</v>
      </c>
      <c r="B84">
        <v>2040</v>
      </c>
    </row>
    <row r="85" spans="1:2" x14ac:dyDescent="0.3">
      <c r="A85" s="3" t="s">
        <v>281</v>
      </c>
      <c r="B85">
        <v>2020</v>
      </c>
    </row>
    <row r="86" spans="1:2" x14ac:dyDescent="0.3">
      <c r="A86" s="3" t="s">
        <v>243</v>
      </c>
      <c r="B86">
        <v>1935</v>
      </c>
    </row>
    <row r="87" spans="1:2" x14ac:dyDescent="0.3">
      <c r="A87" s="3" t="s">
        <v>247</v>
      </c>
      <c r="B87">
        <v>1860</v>
      </c>
    </row>
    <row r="88" spans="1:2" x14ac:dyDescent="0.3">
      <c r="A88" s="3" t="s">
        <v>167</v>
      </c>
      <c r="B88">
        <v>1720</v>
      </c>
    </row>
    <row r="89" spans="1:2" x14ac:dyDescent="0.3">
      <c r="A89" s="3" t="s">
        <v>154</v>
      </c>
      <c r="B89">
        <v>1720</v>
      </c>
    </row>
    <row r="90" spans="1:2" x14ac:dyDescent="0.3">
      <c r="A90" s="3" t="s">
        <v>280</v>
      </c>
      <c r="B90">
        <v>1700</v>
      </c>
    </row>
    <row r="91" spans="1:2" x14ac:dyDescent="0.3">
      <c r="A91" s="3" t="s">
        <v>389</v>
      </c>
      <c r="B91">
        <v>1620</v>
      </c>
    </row>
    <row r="92" spans="1:2" x14ac:dyDescent="0.3">
      <c r="A92" s="3" t="s">
        <v>310</v>
      </c>
      <c r="B92">
        <v>1600</v>
      </c>
    </row>
    <row r="93" spans="1:2" x14ac:dyDescent="0.3">
      <c r="A93" s="3" t="s">
        <v>285</v>
      </c>
      <c r="B93">
        <v>1540</v>
      </c>
    </row>
    <row r="94" spans="1:2" x14ac:dyDescent="0.3">
      <c r="A94" s="3" t="s">
        <v>278</v>
      </c>
      <c r="B94">
        <v>1490</v>
      </c>
    </row>
    <row r="95" spans="1:2" x14ac:dyDescent="0.3">
      <c r="A95" s="3" t="s">
        <v>365</v>
      </c>
      <c r="B95">
        <v>1320</v>
      </c>
    </row>
    <row r="96" spans="1:2" x14ac:dyDescent="0.3">
      <c r="A96" s="3" t="s">
        <v>383</v>
      </c>
      <c r="B96">
        <v>1140</v>
      </c>
    </row>
    <row r="97" spans="1:2" x14ac:dyDescent="0.3">
      <c r="A97" s="3" t="s">
        <v>241</v>
      </c>
      <c r="B97">
        <v>645</v>
      </c>
    </row>
    <row r="98" spans="1:2" x14ac:dyDescent="0.3">
      <c r="A98" s="3" t="s">
        <v>228</v>
      </c>
      <c r="B98">
        <v>645</v>
      </c>
    </row>
    <row r="99" spans="1:2" x14ac:dyDescent="0.3">
      <c r="A99" s="3" t="s">
        <v>91</v>
      </c>
      <c r="B99">
        <v>640</v>
      </c>
    </row>
    <row r="100" spans="1:2" x14ac:dyDescent="0.3">
      <c r="A100" s="3" t="s">
        <v>128</v>
      </c>
      <c r="B100">
        <v>590</v>
      </c>
    </row>
    <row r="101" spans="1:2" x14ac:dyDescent="0.3">
      <c r="A101" s="3" t="s">
        <v>238</v>
      </c>
      <c r="B101">
        <v>540</v>
      </c>
    </row>
    <row r="102" spans="1:2" x14ac:dyDescent="0.3">
      <c r="A102" s="3" t="s">
        <v>217</v>
      </c>
      <c r="B102">
        <v>480</v>
      </c>
    </row>
    <row r="103" spans="1:2" x14ac:dyDescent="0.3">
      <c r="A103" s="3" t="s">
        <v>19</v>
      </c>
      <c r="B103">
        <v>200</v>
      </c>
    </row>
    <row r="104" spans="1:2" x14ac:dyDescent="0.3">
      <c r="A104" s="3" t="s">
        <v>291</v>
      </c>
      <c r="B104">
        <v>100</v>
      </c>
    </row>
    <row r="105" spans="1:2" x14ac:dyDescent="0.3">
      <c r="A105" s="3" t="s">
        <v>274</v>
      </c>
    </row>
    <row r="106" spans="1:2" x14ac:dyDescent="0.3">
      <c r="A106" s="3" t="s">
        <v>427</v>
      </c>
    </row>
    <row r="107" spans="1:2" x14ac:dyDescent="0.3">
      <c r="A107" s="3" t="s">
        <v>385</v>
      </c>
    </row>
    <row r="108" spans="1:2" x14ac:dyDescent="0.3">
      <c r="A108" s="3" t="s">
        <v>368</v>
      </c>
    </row>
    <row r="109" spans="1:2" x14ac:dyDescent="0.3">
      <c r="A109" s="3" t="s">
        <v>384</v>
      </c>
    </row>
    <row r="110" spans="1:2" x14ac:dyDescent="0.3">
      <c r="A110" s="3" t="s">
        <v>306</v>
      </c>
    </row>
    <row r="111" spans="1:2" x14ac:dyDescent="0.3">
      <c r="A111" s="3" t="s">
        <v>370</v>
      </c>
    </row>
    <row r="112" spans="1:2" x14ac:dyDescent="0.3">
      <c r="A112" s="3" t="s">
        <v>358</v>
      </c>
    </row>
    <row r="113" spans="1:2" x14ac:dyDescent="0.3">
      <c r="A113" s="3" t="s">
        <v>422</v>
      </c>
      <c r="B113">
        <v>5949301.9699999997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DAB72-FF3A-4684-BE6D-2828B5D66FA6}">
  <dimension ref="A1:I2372"/>
  <sheetViews>
    <sheetView tabSelected="1" zoomScale="99" workbookViewId="0">
      <selection activeCell="B18" sqref="B18"/>
    </sheetView>
  </sheetViews>
  <sheetFormatPr defaultRowHeight="14.4" x14ac:dyDescent="0.3"/>
  <cols>
    <col min="1" max="1" width="10.33203125" bestFit="1" customWidth="1"/>
    <col min="2" max="2" width="27.77734375" bestFit="1" customWidth="1"/>
    <col min="3" max="3" width="29.5546875" customWidth="1"/>
    <col min="4" max="4" width="20.33203125" customWidth="1"/>
    <col min="5" max="5" width="15.109375" customWidth="1"/>
    <col min="6" max="6" width="16.33203125" customWidth="1"/>
    <col min="7" max="7" width="16.6640625" customWidth="1"/>
  </cols>
  <sheetData>
    <row r="1" spans="1:9" x14ac:dyDescent="0.3">
      <c r="A1" s="1" t="s">
        <v>0</v>
      </c>
      <c r="B1" t="s">
        <v>423</v>
      </c>
      <c r="C1" t="s">
        <v>1</v>
      </c>
      <c r="D1" t="s">
        <v>2</v>
      </c>
      <c r="E1" t="s">
        <v>424</v>
      </c>
      <c r="F1" t="s">
        <v>425</v>
      </c>
      <c r="G1" t="s">
        <v>426</v>
      </c>
      <c r="H1" t="s">
        <v>419</v>
      </c>
      <c r="I1" t="s">
        <v>420</v>
      </c>
    </row>
    <row r="2" spans="1:9" x14ac:dyDescent="0.3">
      <c r="A2" s="1">
        <v>44298</v>
      </c>
      <c r="B2" t="s">
        <v>75</v>
      </c>
      <c r="C2" t="s">
        <v>135</v>
      </c>
      <c r="D2" t="s">
        <v>93</v>
      </c>
      <c r="E2" t="s">
        <v>144</v>
      </c>
      <c r="F2">
        <v>2560</v>
      </c>
      <c r="H2">
        <f t="shared" ref="H2:H60" si="0">MONTH(A2)</f>
        <v>4</v>
      </c>
      <c r="I2">
        <f t="shared" ref="I2:I60" si="1">YEAR(A2)</f>
        <v>2021</v>
      </c>
    </row>
    <row r="3" spans="1:9" x14ac:dyDescent="0.3">
      <c r="A3" s="1">
        <v>44298</v>
      </c>
      <c r="B3" t="s">
        <v>75</v>
      </c>
      <c r="C3" t="s">
        <v>116</v>
      </c>
      <c r="D3" t="s">
        <v>93</v>
      </c>
      <c r="E3" t="s">
        <v>144</v>
      </c>
      <c r="F3">
        <v>2560</v>
      </c>
      <c r="H3">
        <f t="shared" si="0"/>
        <v>4</v>
      </c>
      <c r="I3">
        <f t="shared" si="1"/>
        <v>2021</v>
      </c>
    </row>
    <row r="4" spans="1:9" x14ac:dyDescent="0.3">
      <c r="A4" s="1">
        <v>44298</v>
      </c>
      <c r="B4" t="s">
        <v>75</v>
      </c>
      <c r="C4" t="s">
        <v>140</v>
      </c>
      <c r="D4" t="s">
        <v>93</v>
      </c>
      <c r="E4" t="s">
        <v>144</v>
      </c>
      <c r="F4">
        <v>2560</v>
      </c>
      <c r="H4">
        <f t="shared" si="0"/>
        <v>4</v>
      </c>
      <c r="I4">
        <f t="shared" si="1"/>
        <v>2021</v>
      </c>
    </row>
    <row r="5" spans="1:9" x14ac:dyDescent="0.3">
      <c r="A5" s="1">
        <v>44298</v>
      </c>
      <c r="B5" t="s">
        <v>75</v>
      </c>
      <c r="C5" t="s">
        <v>114</v>
      </c>
      <c r="D5" t="s">
        <v>93</v>
      </c>
      <c r="E5" t="s">
        <v>144</v>
      </c>
      <c r="F5">
        <v>2560</v>
      </c>
      <c r="H5">
        <f t="shared" si="0"/>
        <v>4</v>
      </c>
      <c r="I5">
        <f t="shared" si="1"/>
        <v>2021</v>
      </c>
    </row>
    <row r="6" spans="1:9" x14ac:dyDescent="0.3">
      <c r="A6" s="1">
        <v>44298</v>
      </c>
      <c r="B6" t="s">
        <v>75</v>
      </c>
      <c r="C6" t="s">
        <v>148</v>
      </c>
      <c r="D6" t="s">
        <v>93</v>
      </c>
      <c r="E6" t="s">
        <v>177</v>
      </c>
      <c r="F6">
        <v>720</v>
      </c>
      <c r="G6">
        <f>SUM(F2:F6)</f>
        <v>10960</v>
      </c>
      <c r="H6">
        <f t="shared" si="0"/>
        <v>4</v>
      </c>
      <c r="I6">
        <f t="shared" si="1"/>
        <v>2021</v>
      </c>
    </row>
    <row r="7" spans="1:9" x14ac:dyDescent="0.3">
      <c r="A7" s="1">
        <v>44298</v>
      </c>
      <c r="B7" t="s">
        <v>75</v>
      </c>
      <c r="G7">
        <v>5040</v>
      </c>
      <c r="H7">
        <f t="shared" si="0"/>
        <v>4</v>
      </c>
      <c r="I7">
        <f t="shared" si="1"/>
        <v>2021</v>
      </c>
    </row>
    <row r="8" spans="1:9" x14ac:dyDescent="0.3">
      <c r="A8" s="1">
        <v>44298</v>
      </c>
      <c r="B8" t="s">
        <v>75</v>
      </c>
      <c r="C8" t="s">
        <v>211</v>
      </c>
      <c r="D8" t="s">
        <v>16</v>
      </c>
      <c r="E8" t="s">
        <v>79</v>
      </c>
      <c r="F8">
        <v>5040</v>
      </c>
      <c r="H8">
        <f t="shared" si="0"/>
        <v>4</v>
      </c>
      <c r="I8">
        <f t="shared" si="1"/>
        <v>2021</v>
      </c>
    </row>
    <row r="9" spans="1:9" x14ac:dyDescent="0.3">
      <c r="A9" s="1">
        <v>44298</v>
      </c>
      <c r="B9" t="s">
        <v>8</v>
      </c>
      <c r="G9">
        <v>3450</v>
      </c>
      <c r="H9">
        <f t="shared" si="0"/>
        <v>4</v>
      </c>
      <c r="I9">
        <f t="shared" si="1"/>
        <v>2021</v>
      </c>
    </row>
    <row r="10" spans="1:9" x14ac:dyDescent="0.3">
      <c r="A10" s="1">
        <v>44298</v>
      </c>
      <c r="B10" t="s">
        <v>8</v>
      </c>
      <c r="C10" t="s">
        <v>38</v>
      </c>
      <c r="D10" t="s">
        <v>37</v>
      </c>
      <c r="E10" t="s">
        <v>13</v>
      </c>
      <c r="F10">
        <v>3450</v>
      </c>
      <c r="H10">
        <f t="shared" si="0"/>
        <v>4</v>
      </c>
      <c r="I10">
        <f t="shared" si="1"/>
        <v>2021</v>
      </c>
    </row>
    <row r="11" spans="1:9" x14ac:dyDescent="0.3">
      <c r="A11" s="1">
        <v>44298</v>
      </c>
      <c r="B11" t="s">
        <v>88</v>
      </c>
      <c r="G11">
        <v>10500</v>
      </c>
      <c r="H11">
        <f t="shared" si="0"/>
        <v>4</v>
      </c>
      <c r="I11">
        <f t="shared" si="1"/>
        <v>2021</v>
      </c>
    </row>
    <row r="12" spans="1:9" x14ac:dyDescent="0.3">
      <c r="A12" s="1">
        <v>44298</v>
      </c>
      <c r="B12" t="s">
        <v>88</v>
      </c>
      <c r="C12" t="s">
        <v>98</v>
      </c>
      <c r="D12" t="s">
        <v>9</v>
      </c>
      <c r="E12" t="s">
        <v>6</v>
      </c>
      <c r="F12">
        <v>10500</v>
      </c>
      <c r="H12">
        <f t="shared" si="0"/>
        <v>4</v>
      </c>
      <c r="I12">
        <f t="shared" si="1"/>
        <v>2021</v>
      </c>
    </row>
    <row r="13" spans="1:9" x14ac:dyDescent="0.3">
      <c r="A13" s="1">
        <v>44298</v>
      </c>
      <c r="B13" t="s">
        <v>8</v>
      </c>
      <c r="G13">
        <v>7505</v>
      </c>
      <c r="H13">
        <f t="shared" si="0"/>
        <v>4</v>
      </c>
      <c r="I13">
        <f t="shared" si="1"/>
        <v>2021</v>
      </c>
    </row>
    <row r="14" spans="1:9" x14ac:dyDescent="0.3">
      <c r="A14" s="1">
        <v>44298</v>
      </c>
      <c r="B14" t="s">
        <v>8</v>
      </c>
      <c r="C14" t="s">
        <v>98</v>
      </c>
      <c r="D14" t="s">
        <v>78</v>
      </c>
      <c r="E14" t="s">
        <v>6</v>
      </c>
      <c r="F14">
        <v>4725</v>
      </c>
      <c r="H14">
        <f t="shared" si="0"/>
        <v>4</v>
      </c>
      <c r="I14">
        <f t="shared" si="1"/>
        <v>2021</v>
      </c>
    </row>
    <row r="15" spans="1:9" x14ac:dyDescent="0.3">
      <c r="A15" s="1">
        <v>44298</v>
      </c>
      <c r="B15" t="s">
        <v>8</v>
      </c>
      <c r="C15" t="s">
        <v>11</v>
      </c>
      <c r="D15" t="s">
        <v>37</v>
      </c>
      <c r="E15" t="s">
        <v>13</v>
      </c>
      <c r="F15">
        <v>3450</v>
      </c>
      <c r="H15">
        <f t="shared" si="0"/>
        <v>4</v>
      </c>
      <c r="I15">
        <f t="shared" si="1"/>
        <v>2021</v>
      </c>
    </row>
    <row r="16" spans="1:9" x14ac:dyDescent="0.3">
      <c r="A16" s="1">
        <v>44298</v>
      </c>
      <c r="B16" t="s">
        <v>8</v>
      </c>
      <c r="C16" t="s">
        <v>108</v>
      </c>
      <c r="D16" t="s">
        <v>273</v>
      </c>
      <c r="E16" t="s">
        <v>117</v>
      </c>
      <c r="F16">
        <v>-670</v>
      </c>
      <c r="H16">
        <f t="shared" si="0"/>
        <v>4</v>
      </c>
      <c r="I16">
        <f t="shared" si="1"/>
        <v>2021</v>
      </c>
    </row>
    <row r="17" spans="1:9" x14ac:dyDescent="0.3">
      <c r="A17" s="1">
        <v>44298</v>
      </c>
      <c r="B17" t="s">
        <v>8</v>
      </c>
      <c r="C17" t="s">
        <v>274</v>
      </c>
      <c r="H17">
        <f t="shared" si="0"/>
        <v>4</v>
      </c>
      <c r="I17">
        <f t="shared" si="1"/>
        <v>2021</v>
      </c>
    </row>
    <row r="18" spans="1:9" x14ac:dyDescent="0.3">
      <c r="A18" s="1">
        <v>44298</v>
      </c>
      <c r="B18" t="s">
        <v>110</v>
      </c>
      <c r="G18">
        <v>750</v>
      </c>
      <c r="H18">
        <f t="shared" si="0"/>
        <v>4</v>
      </c>
      <c r="I18">
        <f t="shared" si="1"/>
        <v>2021</v>
      </c>
    </row>
    <row r="19" spans="1:9" x14ac:dyDescent="0.3">
      <c r="A19" s="1">
        <v>44298</v>
      </c>
      <c r="B19" t="s">
        <v>110</v>
      </c>
      <c r="C19" t="s">
        <v>194</v>
      </c>
      <c r="D19">
        <v>68</v>
      </c>
      <c r="E19" t="s">
        <v>86</v>
      </c>
      <c r="F19">
        <v>750</v>
      </c>
      <c r="H19">
        <f t="shared" si="0"/>
        <v>4</v>
      </c>
      <c r="I19">
        <f t="shared" si="1"/>
        <v>2021</v>
      </c>
    </row>
    <row r="20" spans="1:9" x14ac:dyDescent="0.3">
      <c r="A20" s="1">
        <v>44298</v>
      </c>
      <c r="B20" t="s">
        <v>110</v>
      </c>
      <c r="C20" t="s">
        <v>256</v>
      </c>
      <c r="D20" t="s">
        <v>5</v>
      </c>
      <c r="E20" t="s">
        <v>205</v>
      </c>
      <c r="F20">
        <v>750</v>
      </c>
      <c r="H20">
        <f t="shared" si="0"/>
        <v>4</v>
      </c>
      <c r="I20">
        <f t="shared" si="1"/>
        <v>2021</v>
      </c>
    </row>
    <row r="21" spans="1:9" x14ac:dyDescent="0.3">
      <c r="A21" s="1">
        <v>44298</v>
      </c>
      <c r="B21" t="s">
        <v>130</v>
      </c>
      <c r="G21">
        <v>4935</v>
      </c>
      <c r="H21">
        <f t="shared" si="0"/>
        <v>4</v>
      </c>
      <c r="I21">
        <f t="shared" si="1"/>
        <v>2021</v>
      </c>
    </row>
    <row r="22" spans="1:9" x14ac:dyDescent="0.3">
      <c r="A22" s="1">
        <v>44298</v>
      </c>
      <c r="B22" t="s">
        <v>130</v>
      </c>
      <c r="C22" t="s">
        <v>256</v>
      </c>
      <c r="D22" t="s">
        <v>5</v>
      </c>
      <c r="E22" t="s">
        <v>205</v>
      </c>
      <c r="F22">
        <v>750</v>
      </c>
      <c r="H22">
        <f t="shared" si="0"/>
        <v>4</v>
      </c>
      <c r="I22">
        <f t="shared" si="1"/>
        <v>2021</v>
      </c>
    </row>
    <row r="23" spans="1:9" x14ac:dyDescent="0.3">
      <c r="A23" s="1">
        <v>44298</v>
      </c>
      <c r="B23" t="s">
        <v>130</v>
      </c>
      <c r="C23" t="s">
        <v>241</v>
      </c>
      <c r="D23" t="s">
        <v>5</v>
      </c>
      <c r="E23" t="s">
        <v>229</v>
      </c>
      <c r="F23">
        <v>645</v>
      </c>
      <c r="H23">
        <f t="shared" si="0"/>
        <v>4</v>
      </c>
      <c r="I23">
        <f t="shared" si="1"/>
        <v>2021</v>
      </c>
    </row>
    <row r="24" spans="1:9" x14ac:dyDescent="0.3">
      <c r="A24" s="1">
        <v>44298</v>
      </c>
      <c r="B24" t="s">
        <v>130</v>
      </c>
      <c r="C24" t="s">
        <v>106</v>
      </c>
      <c r="D24" t="s">
        <v>23</v>
      </c>
      <c r="E24" t="s">
        <v>226</v>
      </c>
      <c r="F24">
        <v>1290</v>
      </c>
      <c r="H24">
        <f t="shared" si="0"/>
        <v>4</v>
      </c>
      <c r="I24">
        <f t="shared" si="1"/>
        <v>2021</v>
      </c>
    </row>
    <row r="25" spans="1:9" x14ac:dyDescent="0.3">
      <c r="A25" s="1">
        <v>44298</v>
      </c>
      <c r="B25" t="s">
        <v>130</v>
      </c>
      <c r="C25" t="s">
        <v>246</v>
      </c>
      <c r="D25" t="s">
        <v>5</v>
      </c>
      <c r="E25" t="s">
        <v>205</v>
      </c>
      <c r="F25">
        <v>750</v>
      </c>
      <c r="H25">
        <f t="shared" si="0"/>
        <v>4</v>
      </c>
      <c r="I25">
        <f t="shared" si="1"/>
        <v>2021</v>
      </c>
    </row>
    <row r="26" spans="1:9" x14ac:dyDescent="0.3">
      <c r="A26" s="1">
        <v>44298</v>
      </c>
      <c r="B26" t="s">
        <v>130</v>
      </c>
      <c r="C26" t="s">
        <v>204</v>
      </c>
      <c r="D26" t="s">
        <v>5</v>
      </c>
      <c r="E26" t="s">
        <v>205</v>
      </c>
      <c r="F26">
        <v>750</v>
      </c>
      <c r="H26">
        <f t="shared" si="0"/>
        <v>4</v>
      </c>
      <c r="I26">
        <f t="shared" si="1"/>
        <v>2021</v>
      </c>
    </row>
    <row r="27" spans="1:9" x14ac:dyDescent="0.3">
      <c r="A27" s="1">
        <v>44298</v>
      </c>
      <c r="B27" t="s">
        <v>130</v>
      </c>
      <c r="C27" t="s">
        <v>216</v>
      </c>
      <c r="D27" t="s">
        <v>5</v>
      </c>
      <c r="E27" t="s">
        <v>205</v>
      </c>
      <c r="F27">
        <v>750</v>
      </c>
      <c r="H27">
        <f t="shared" si="0"/>
        <v>4</v>
      </c>
      <c r="I27">
        <f t="shared" si="1"/>
        <v>2021</v>
      </c>
    </row>
    <row r="28" spans="1:9" x14ac:dyDescent="0.3">
      <c r="A28" s="1">
        <v>44298</v>
      </c>
      <c r="B28" t="s">
        <v>130</v>
      </c>
      <c r="C28" t="s">
        <v>148</v>
      </c>
      <c r="D28" t="s">
        <v>5</v>
      </c>
      <c r="E28" t="s">
        <v>177</v>
      </c>
      <c r="H28">
        <f t="shared" si="0"/>
        <v>4</v>
      </c>
      <c r="I28">
        <f t="shared" si="1"/>
        <v>2021</v>
      </c>
    </row>
    <row r="29" spans="1:9" x14ac:dyDescent="0.3">
      <c r="A29" s="1">
        <v>44298</v>
      </c>
      <c r="B29" t="s">
        <v>130</v>
      </c>
      <c r="G29">
        <v>5405</v>
      </c>
      <c r="H29">
        <f t="shared" si="0"/>
        <v>4</v>
      </c>
      <c r="I29">
        <f t="shared" si="1"/>
        <v>2021</v>
      </c>
    </row>
    <row r="30" spans="1:9" x14ac:dyDescent="0.3">
      <c r="A30" s="1">
        <v>44298</v>
      </c>
      <c r="B30" t="s">
        <v>130</v>
      </c>
      <c r="C30" t="s">
        <v>135</v>
      </c>
      <c r="D30" t="s">
        <v>23</v>
      </c>
      <c r="E30" t="s">
        <v>229</v>
      </c>
      <c r="F30">
        <v>1935</v>
      </c>
      <c r="H30">
        <f t="shared" si="0"/>
        <v>4</v>
      </c>
      <c r="I30">
        <f t="shared" si="1"/>
        <v>2021</v>
      </c>
    </row>
    <row r="31" spans="1:9" x14ac:dyDescent="0.3">
      <c r="A31" s="1">
        <v>44298</v>
      </c>
      <c r="B31" t="s">
        <v>130</v>
      </c>
      <c r="C31" t="s">
        <v>112</v>
      </c>
      <c r="D31" t="s">
        <v>12</v>
      </c>
      <c r="E31" t="s">
        <v>229</v>
      </c>
      <c r="F31">
        <v>1290</v>
      </c>
      <c r="H31">
        <f t="shared" si="0"/>
        <v>4</v>
      </c>
      <c r="I31">
        <f t="shared" si="1"/>
        <v>2021</v>
      </c>
    </row>
    <row r="32" spans="1:9" x14ac:dyDescent="0.3">
      <c r="A32" s="1">
        <v>44298</v>
      </c>
      <c r="B32" t="s">
        <v>130</v>
      </c>
      <c r="C32" t="s">
        <v>108</v>
      </c>
      <c r="D32" t="s">
        <v>12</v>
      </c>
      <c r="E32" t="s">
        <v>69</v>
      </c>
      <c r="F32">
        <v>1100</v>
      </c>
      <c r="H32">
        <f t="shared" si="0"/>
        <v>4</v>
      </c>
      <c r="I32">
        <f t="shared" si="1"/>
        <v>2021</v>
      </c>
    </row>
    <row r="33" spans="1:9" x14ac:dyDescent="0.3">
      <c r="A33" s="1">
        <v>44298</v>
      </c>
      <c r="B33" t="s">
        <v>130</v>
      </c>
      <c r="C33" t="s">
        <v>152</v>
      </c>
      <c r="D33" t="s">
        <v>5</v>
      </c>
      <c r="E33" t="s">
        <v>99</v>
      </c>
      <c r="F33">
        <v>540</v>
      </c>
      <c r="H33">
        <f t="shared" si="0"/>
        <v>4</v>
      </c>
      <c r="I33">
        <f t="shared" si="1"/>
        <v>2021</v>
      </c>
    </row>
    <row r="34" spans="1:9" x14ac:dyDescent="0.3">
      <c r="A34" s="1">
        <v>44298</v>
      </c>
      <c r="B34" t="s">
        <v>130</v>
      </c>
      <c r="C34" t="s">
        <v>98</v>
      </c>
      <c r="D34" t="s">
        <v>5</v>
      </c>
      <c r="E34" t="s">
        <v>99</v>
      </c>
      <c r="F34">
        <v>540</v>
      </c>
      <c r="H34">
        <f t="shared" si="0"/>
        <v>4</v>
      </c>
      <c r="I34">
        <f t="shared" si="1"/>
        <v>2021</v>
      </c>
    </row>
    <row r="35" spans="1:9" x14ac:dyDescent="0.3">
      <c r="A35" s="1">
        <v>44298</v>
      </c>
      <c r="B35" t="s">
        <v>110</v>
      </c>
      <c r="G35">
        <v>6000</v>
      </c>
      <c r="H35">
        <f t="shared" si="0"/>
        <v>4</v>
      </c>
      <c r="I35">
        <f t="shared" si="1"/>
        <v>2021</v>
      </c>
    </row>
    <row r="36" spans="1:9" x14ac:dyDescent="0.3">
      <c r="A36" s="1">
        <v>44298</v>
      </c>
      <c r="B36" t="s">
        <v>110</v>
      </c>
      <c r="C36" t="s">
        <v>204</v>
      </c>
      <c r="D36" t="s">
        <v>23</v>
      </c>
      <c r="E36" t="s">
        <v>205</v>
      </c>
      <c r="F36">
        <v>2250</v>
      </c>
      <c r="H36">
        <f t="shared" si="0"/>
        <v>4</v>
      </c>
      <c r="I36">
        <f t="shared" si="1"/>
        <v>2021</v>
      </c>
    </row>
    <row r="37" spans="1:9" x14ac:dyDescent="0.3">
      <c r="A37" s="1">
        <v>44298</v>
      </c>
      <c r="B37" t="s">
        <v>110</v>
      </c>
      <c r="C37" t="s">
        <v>246</v>
      </c>
      <c r="D37" t="s">
        <v>93</v>
      </c>
      <c r="E37" t="s">
        <v>205</v>
      </c>
      <c r="F37">
        <v>3000</v>
      </c>
      <c r="H37">
        <f t="shared" si="0"/>
        <v>4</v>
      </c>
      <c r="I37">
        <f t="shared" si="1"/>
        <v>2021</v>
      </c>
    </row>
    <row r="38" spans="1:9" x14ac:dyDescent="0.3">
      <c r="A38" s="1">
        <v>44298</v>
      </c>
      <c r="B38" t="s">
        <v>110</v>
      </c>
      <c r="C38" t="s">
        <v>256</v>
      </c>
      <c r="D38" t="s">
        <v>5</v>
      </c>
      <c r="E38" t="s">
        <v>205</v>
      </c>
      <c r="F38">
        <v>750</v>
      </c>
      <c r="H38">
        <f t="shared" si="0"/>
        <v>4</v>
      </c>
      <c r="I38">
        <f t="shared" si="1"/>
        <v>2021</v>
      </c>
    </row>
    <row r="39" spans="1:9" x14ac:dyDescent="0.3">
      <c r="A39" s="1">
        <v>44298</v>
      </c>
      <c r="B39" t="s">
        <v>110</v>
      </c>
      <c r="C39" t="s">
        <v>148</v>
      </c>
      <c r="D39" t="s">
        <v>23</v>
      </c>
      <c r="E39" t="s">
        <v>177</v>
      </c>
      <c r="H39">
        <f t="shared" si="0"/>
        <v>4</v>
      </c>
      <c r="I39">
        <f t="shared" si="1"/>
        <v>2021</v>
      </c>
    </row>
    <row r="40" spans="1:9" x14ac:dyDescent="0.3">
      <c r="A40" s="1">
        <v>44298</v>
      </c>
      <c r="B40" t="s">
        <v>234</v>
      </c>
      <c r="G40">
        <v>11340</v>
      </c>
      <c r="H40">
        <f t="shared" si="0"/>
        <v>4</v>
      </c>
      <c r="I40">
        <f t="shared" si="1"/>
        <v>2021</v>
      </c>
    </row>
    <row r="41" spans="1:9" x14ac:dyDescent="0.3">
      <c r="A41" s="1">
        <v>44298</v>
      </c>
      <c r="B41" t="s">
        <v>234</v>
      </c>
      <c r="C41" t="s">
        <v>123</v>
      </c>
      <c r="D41" t="s">
        <v>23</v>
      </c>
      <c r="E41" t="s">
        <v>124</v>
      </c>
      <c r="F41">
        <v>2220</v>
      </c>
      <c r="H41">
        <f t="shared" si="0"/>
        <v>4</v>
      </c>
      <c r="I41">
        <f t="shared" si="1"/>
        <v>2021</v>
      </c>
    </row>
    <row r="42" spans="1:9" x14ac:dyDescent="0.3">
      <c r="A42" s="1">
        <v>44298</v>
      </c>
      <c r="B42" t="s">
        <v>234</v>
      </c>
      <c r="C42" t="s">
        <v>142</v>
      </c>
      <c r="D42" t="s">
        <v>23</v>
      </c>
      <c r="E42" t="s">
        <v>156</v>
      </c>
      <c r="F42">
        <v>1500</v>
      </c>
      <c r="H42">
        <f t="shared" si="0"/>
        <v>4</v>
      </c>
      <c r="I42">
        <f t="shared" si="1"/>
        <v>2021</v>
      </c>
    </row>
    <row r="43" spans="1:9" x14ac:dyDescent="0.3">
      <c r="A43" s="1">
        <v>44298</v>
      </c>
      <c r="B43" t="s">
        <v>234</v>
      </c>
      <c r="C43" t="s">
        <v>108</v>
      </c>
      <c r="D43" t="s">
        <v>12</v>
      </c>
      <c r="E43" t="s">
        <v>99</v>
      </c>
      <c r="F43">
        <v>1080</v>
      </c>
      <c r="H43">
        <f t="shared" si="0"/>
        <v>4</v>
      </c>
      <c r="I43">
        <f t="shared" si="1"/>
        <v>2021</v>
      </c>
    </row>
    <row r="44" spans="1:9" x14ac:dyDescent="0.3">
      <c r="A44" s="1">
        <v>44298</v>
      </c>
      <c r="B44" t="s">
        <v>234</v>
      </c>
      <c r="C44" t="s">
        <v>101</v>
      </c>
      <c r="D44" t="s">
        <v>12</v>
      </c>
      <c r="E44" t="s">
        <v>102</v>
      </c>
      <c r="F44">
        <v>960</v>
      </c>
      <c r="H44">
        <f t="shared" si="0"/>
        <v>4</v>
      </c>
      <c r="I44">
        <f t="shared" si="1"/>
        <v>2021</v>
      </c>
    </row>
    <row r="45" spans="1:9" x14ac:dyDescent="0.3">
      <c r="A45" s="1">
        <v>44298</v>
      </c>
      <c r="B45" t="s">
        <v>234</v>
      </c>
      <c r="C45" t="s">
        <v>44</v>
      </c>
      <c r="D45" t="s">
        <v>23</v>
      </c>
      <c r="E45" t="s">
        <v>43</v>
      </c>
      <c r="F45">
        <v>1170</v>
      </c>
      <c r="H45">
        <f t="shared" si="0"/>
        <v>4</v>
      </c>
      <c r="I45">
        <f t="shared" si="1"/>
        <v>2021</v>
      </c>
    </row>
    <row r="46" spans="1:9" x14ac:dyDescent="0.3">
      <c r="A46" s="1">
        <v>44298</v>
      </c>
      <c r="B46" t="s">
        <v>234</v>
      </c>
      <c r="C46" t="s">
        <v>98</v>
      </c>
      <c r="D46" t="s">
        <v>12</v>
      </c>
      <c r="E46" t="s">
        <v>6</v>
      </c>
      <c r="F46">
        <v>1050</v>
      </c>
      <c r="H46">
        <f t="shared" si="0"/>
        <v>4</v>
      </c>
      <c r="I46">
        <f t="shared" si="1"/>
        <v>2021</v>
      </c>
    </row>
    <row r="47" spans="1:9" x14ac:dyDescent="0.3">
      <c r="A47" s="1">
        <v>44298</v>
      </c>
      <c r="B47" t="s">
        <v>234</v>
      </c>
      <c r="C47" t="s">
        <v>135</v>
      </c>
      <c r="D47" t="s">
        <v>5</v>
      </c>
      <c r="E47" t="s">
        <v>67</v>
      </c>
      <c r="F47">
        <v>630</v>
      </c>
      <c r="H47">
        <f t="shared" si="0"/>
        <v>4</v>
      </c>
      <c r="I47">
        <f t="shared" si="1"/>
        <v>2021</v>
      </c>
    </row>
    <row r="48" spans="1:9" x14ac:dyDescent="0.3">
      <c r="A48" s="1">
        <v>44298</v>
      </c>
      <c r="B48" t="s">
        <v>234</v>
      </c>
      <c r="C48" t="s">
        <v>11</v>
      </c>
      <c r="D48" t="s">
        <v>18</v>
      </c>
      <c r="E48" t="s">
        <v>62</v>
      </c>
      <c r="F48">
        <v>2052</v>
      </c>
      <c r="H48">
        <f t="shared" si="0"/>
        <v>4</v>
      </c>
      <c r="I48">
        <f t="shared" si="1"/>
        <v>2021</v>
      </c>
    </row>
    <row r="49" spans="1:9" x14ac:dyDescent="0.3">
      <c r="A49" s="1">
        <v>44298</v>
      </c>
      <c r="B49" t="s">
        <v>234</v>
      </c>
      <c r="C49" t="s">
        <v>125</v>
      </c>
      <c r="D49" t="s">
        <v>5</v>
      </c>
      <c r="E49" t="s">
        <v>120</v>
      </c>
      <c r="F49">
        <v>680</v>
      </c>
      <c r="H49">
        <f t="shared" si="0"/>
        <v>4</v>
      </c>
      <c r="I49">
        <f t="shared" si="1"/>
        <v>2021</v>
      </c>
    </row>
    <row r="50" spans="1:9" x14ac:dyDescent="0.3">
      <c r="A50" s="1">
        <v>44298</v>
      </c>
      <c r="B50" t="s">
        <v>162</v>
      </c>
      <c r="G50">
        <v>-2</v>
      </c>
      <c r="H50">
        <f t="shared" si="0"/>
        <v>4</v>
      </c>
      <c r="I50">
        <f t="shared" si="1"/>
        <v>2021</v>
      </c>
    </row>
    <row r="51" spans="1:9" x14ac:dyDescent="0.3">
      <c r="A51" s="1">
        <v>44298</v>
      </c>
      <c r="B51" t="s">
        <v>275</v>
      </c>
      <c r="G51">
        <v>17270</v>
      </c>
      <c r="H51">
        <f t="shared" si="0"/>
        <v>4</v>
      </c>
      <c r="I51">
        <f t="shared" si="1"/>
        <v>2021</v>
      </c>
    </row>
    <row r="52" spans="1:9" x14ac:dyDescent="0.3">
      <c r="A52" s="1">
        <v>44298</v>
      </c>
      <c r="B52" t="s">
        <v>275</v>
      </c>
      <c r="C52" t="s">
        <v>231</v>
      </c>
      <c r="D52" t="s">
        <v>93</v>
      </c>
      <c r="E52" t="s">
        <v>122</v>
      </c>
      <c r="F52">
        <v>2240</v>
      </c>
      <c r="H52">
        <f t="shared" si="0"/>
        <v>4</v>
      </c>
      <c r="I52">
        <f t="shared" si="1"/>
        <v>2021</v>
      </c>
    </row>
    <row r="53" spans="1:9" x14ac:dyDescent="0.3">
      <c r="A53" s="1">
        <v>44298</v>
      </c>
      <c r="B53" t="s">
        <v>275</v>
      </c>
      <c r="C53" t="s">
        <v>175</v>
      </c>
      <c r="D53" t="s">
        <v>12</v>
      </c>
      <c r="E53" t="s">
        <v>122</v>
      </c>
      <c r="F53">
        <v>1120</v>
      </c>
      <c r="H53">
        <f t="shared" si="0"/>
        <v>4</v>
      </c>
      <c r="I53">
        <f t="shared" si="1"/>
        <v>2021</v>
      </c>
    </row>
    <row r="54" spans="1:9" x14ac:dyDescent="0.3">
      <c r="A54" s="1">
        <v>44298</v>
      </c>
      <c r="B54" t="s">
        <v>275</v>
      </c>
      <c r="C54" t="s">
        <v>187</v>
      </c>
      <c r="D54" t="s">
        <v>12</v>
      </c>
      <c r="E54" t="s">
        <v>122</v>
      </c>
      <c r="F54">
        <v>1120</v>
      </c>
      <c r="H54">
        <f t="shared" si="0"/>
        <v>4</v>
      </c>
      <c r="I54">
        <f t="shared" si="1"/>
        <v>2021</v>
      </c>
    </row>
    <row r="55" spans="1:9" x14ac:dyDescent="0.3">
      <c r="A55" s="1">
        <v>44298</v>
      </c>
      <c r="B55" t="s">
        <v>275</v>
      </c>
      <c r="C55" t="s">
        <v>247</v>
      </c>
      <c r="D55" t="s">
        <v>5</v>
      </c>
      <c r="E55" t="s">
        <v>122</v>
      </c>
      <c r="F55">
        <v>560</v>
      </c>
      <c r="H55">
        <f t="shared" si="0"/>
        <v>4</v>
      </c>
      <c r="I55">
        <f t="shared" si="1"/>
        <v>2021</v>
      </c>
    </row>
    <row r="56" spans="1:9" x14ac:dyDescent="0.3">
      <c r="A56" s="1">
        <v>44298</v>
      </c>
      <c r="B56" t="s">
        <v>275</v>
      </c>
      <c r="C56" t="s">
        <v>152</v>
      </c>
      <c r="D56" t="s">
        <v>25</v>
      </c>
      <c r="E56" t="s">
        <v>69</v>
      </c>
      <c r="F56">
        <v>2750</v>
      </c>
      <c r="H56">
        <f t="shared" si="0"/>
        <v>4</v>
      </c>
      <c r="I56">
        <f t="shared" si="1"/>
        <v>2021</v>
      </c>
    </row>
    <row r="57" spans="1:9" x14ac:dyDescent="0.3">
      <c r="A57" s="1">
        <v>44298</v>
      </c>
      <c r="B57" t="s">
        <v>275</v>
      </c>
      <c r="C57" t="s">
        <v>108</v>
      </c>
      <c r="D57" t="s">
        <v>16</v>
      </c>
      <c r="E57" t="s">
        <v>122</v>
      </c>
      <c r="F57">
        <v>6720</v>
      </c>
      <c r="H57">
        <f t="shared" si="0"/>
        <v>4</v>
      </c>
      <c r="I57">
        <f t="shared" si="1"/>
        <v>2021</v>
      </c>
    </row>
    <row r="58" spans="1:9" x14ac:dyDescent="0.3">
      <c r="A58" s="1">
        <v>44298</v>
      </c>
      <c r="B58" t="s">
        <v>275</v>
      </c>
      <c r="C58" t="s">
        <v>134</v>
      </c>
      <c r="D58" t="s">
        <v>23</v>
      </c>
      <c r="E58" t="s">
        <v>122</v>
      </c>
      <c r="F58">
        <v>1680</v>
      </c>
      <c r="H58">
        <f t="shared" si="0"/>
        <v>4</v>
      </c>
      <c r="I58">
        <f t="shared" si="1"/>
        <v>2021</v>
      </c>
    </row>
    <row r="59" spans="1:9" x14ac:dyDescent="0.3">
      <c r="A59" s="1">
        <v>44298</v>
      </c>
      <c r="B59" t="s">
        <v>275</v>
      </c>
      <c r="C59" t="s">
        <v>98</v>
      </c>
      <c r="D59" t="s">
        <v>12</v>
      </c>
      <c r="E59" t="s">
        <v>99</v>
      </c>
      <c r="F59">
        <v>1080</v>
      </c>
      <c r="H59">
        <f t="shared" si="0"/>
        <v>4</v>
      </c>
      <c r="I59">
        <f t="shared" si="1"/>
        <v>2021</v>
      </c>
    </row>
    <row r="60" spans="1:9" x14ac:dyDescent="0.3">
      <c r="A60" s="1">
        <v>44298</v>
      </c>
      <c r="B60" t="s">
        <v>275</v>
      </c>
      <c r="G60">
        <v>38464</v>
      </c>
      <c r="H60">
        <f t="shared" si="0"/>
        <v>4</v>
      </c>
      <c r="I60">
        <f t="shared" si="1"/>
        <v>2021</v>
      </c>
    </row>
    <row r="61" spans="1:9" x14ac:dyDescent="0.3">
      <c r="A61" s="1">
        <v>44298</v>
      </c>
      <c r="B61" t="s">
        <v>275</v>
      </c>
      <c r="C61" t="s">
        <v>176</v>
      </c>
      <c r="D61" t="s">
        <v>276</v>
      </c>
      <c r="E61" t="s">
        <v>166</v>
      </c>
      <c r="F61">
        <v>11880</v>
      </c>
      <c r="H61">
        <f t="shared" ref="H61:H124" si="2">MONTH(A61)</f>
        <v>4</v>
      </c>
      <c r="I61">
        <f t="shared" ref="I61:I124" si="3">YEAR(A61)</f>
        <v>2021</v>
      </c>
    </row>
    <row r="62" spans="1:9" x14ac:dyDescent="0.3">
      <c r="A62" s="1">
        <v>44298</v>
      </c>
      <c r="B62" t="s">
        <v>275</v>
      </c>
      <c r="C62" t="s">
        <v>235</v>
      </c>
      <c r="D62" t="s">
        <v>37</v>
      </c>
      <c r="E62" t="s">
        <v>105</v>
      </c>
      <c r="F62">
        <v>2500</v>
      </c>
      <c r="H62">
        <f t="shared" si="2"/>
        <v>4</v>
      </c>
      <c r="I62">
        <f t="shared" si="3"/>
        <v>2021</v>
      </c>
    </row>
    <row r="63" spans="1:9" x14ac:dyDescent="0.3">
      <c r="A63" s="1">
        <v>44298</v>
      </c>
      <c r="B63" t="s">
        <v>275</v>
      </c>
      <c r="C63" t="s">
        <v>165</v>
      </c>
      <c r="D63" t="s">
        <v>61</v>
      </c>
      <c r="E63" t="s">
        <v>166</v>
      </c>
      <c r="F63">
        <v>3240</v>
      </c>
      <c r="H63">
        <f t="shared" si="2"/>
        <v>4</v>
      </c>
      <c r="I63">
        <f t="shared" si="3"/>
        <v>2021</v>
      </c>
    </row>
    <row r="64" spans="1:9" x14ac:dyDescent="0.3">
      <c r="A64" s="1">
        <v>44298</v>
      </c>
      <c r="B64" t="s">
        <v>275</v>
      </c>
      <c r="C64" t="s">
        <v>233</v>
      </c>
      <c r="D64" t="s">
        <v>61</v>
      </c>
      <c r="E64" t="s">
        <v>166</v>
      </c>
      <c r="F64">
        <v>3240</v>
      </c>
      <c r="H64">
        <f t="shared" si="2"/>
        <v>4</v>
      </c>
      <c r="I64">
        <f t="shared" si="3"/>
        <v>2021</v>
      </c>
    </row>
    <row r="65" spans="1:9" x14ac:dyDescent="0.3">
      <c r="A65" s="1">
        <v>44298</v>
      </c>
      <c r="B65" t="s">
        <v>275</v>
      </c>
      <c r="C65" t="s">
        <v>198</v>
      </c>
      <c r="D65" t="s">
        <v>37</v>
      </c>
      <c r="E65" t="s">
        <v>166</v>
      </c>
      <c r="F65">
        <v>2160</v>
      </c>
      <c r="H65">
        <f t="shared" si="2"/>
        <v>4</v>
      </c>
      <c r="I65">
        <f t="shared" si="3"/>
        <v>2021</v>
      </c>
    </row>
    <row r="66" spans="1:9" x14ac:dyDescent="0.3">
      <c r="A66" s="1">
        <v>44298</v>
      </c>
      <c r="B66" t="s">
        <v>275</v>
      </c>
      <c r="C66" t="s">
        <v>204</v>
      </c>
      <c r="D66" t="s">
        <v>61</v>
      </c>
      <c r="E66" t="s">
        <v>205</v>
      </c>
      <c r="F66">
        <v>11250</v>
      </c>
      <c r="H66">
        <f t="shared" si="2"/>
        <v>4</v>
      </c>
      <c r="I66">
        <f t="shared" si="3"/>
        <v>2021</v>
      </c>
    </row>
    <row r="67" spans="1:9" x14ac:dyDescent="0.3">
      <c r="A67" s="1">
        <v>44298</v>
      </c>
      <c r="B67" t="s">
        <v>275</v>
      </c>
      <c r="C67" t="s">
        <v>256</v>
      </c>
      <c r="D67" t="s">
        <v>12</v>
      </c>
      <c r="E67" t="s">
        <v>205</v>
      </c>
      <c r="F67">
        <v>1500</v>
      </c>
      <c r="H67">
        <f t="shared" si="2"/>
        <v>4</v>
      </c>
      <c r="I67">
        <f t="shared" si="3"/>
        <v>2021</v>
      </c>
    </row>
    <row r="68" spans="1:9" x14ac:dyDescent="0.3">
      <c r="A68" s="1">
        <v>44298</v>
      </c>
      <c r="B68" t="s">
        <v>275</v>
      </c>
      <c r="C68" t="s">
        <v>246</v>
      </c>
      <c r="D68" t="s">
        <v>5</v>
      </c>
      <c r="E68" t="s">
        <v>205</v>
      </c>
      <c r="F68">
        <v>750</v>
      </c>
      <c r="H68">
        <f t="shared" si="2"/>
        <v>4</v>
      </c>
      <c r="I68">
        <f t="shared" si="3"/>
        <v>2021</v>
      </c>
    </row>
    <row r="69" spans="1:9" x14ac:dyDescent="0.3">
      <c r="A69" s="1">
        <v>44298</v>
      </c>
      <c r="B69" t="s">
        <v>275</v>
      </c>
      <c r="C69" t="s">
        <v>135</v>
      </c>
      <c r="D69" t="s">
        <v>18</v>
      </c>
      <c r="E69" t="s">
        <v>115</v>
      </c>
      <c r="F69">
        <v>3900</v>
      </c>
      <c r="H69">
        <f t="shared" si="2"/>
        <v>4</v>
      </c>
      <c r="I69">
        <f t="shared" si="3"/>
        <v>2021</v>
      </c>
    </row>
    <row r="70" spans="1:9" x14ac:dyDescent="0.3">
      <c r="A70" s="1">
        <v>44298</v>
      </c>
      <c r="B70" t="s">
        <v>275</v>
      </c>
      <c r="C70" t="s">
        <v>148</v>
      </c>
      <c r="H70">
        <f t="shared" si="2"/>
        <v>4</v>
      </c>
      <c r="I70">
        <f t="shared" si="3"/>
        <v>2021</v>
      </c>
    </row>
    <row r="71" spans="1:9" x14ac:dyDescent="0.3">
      <c r="A71" s="1">
        <v>44298</v>
      </c>
      <c r="B71" t="s">
        <v>24</v>
      </c>
      <c r="G71">
        <v>-1956</v>
      </c>
      <c r="H71">
        <f t="shared" si="2"/>
        <v>4</v>
      </c>
      <c r="I71">
        <f t="shared" si="3"/>
        <v>2021</v>
      </c>
    </row>
    <row r="72" spans="1:9" x14ac:dyDescent="0.3">
      <c r="A72" s="1">
        <v>44300</v>
      </c>
      <c r="B72" t="s">
        <v>222</v>
      </c>
      <c r="G72">
        <v>4995</v>
      </c>
      <c r="H72">
        <f t="shared" si="2"/>
        <v>4</v>
      </c>
      <c r="I72">
        <f t="shared" si="3"/>
        <v>2021</v>
      </c>
    </row>
    <row r="73" spans="1:9" x14ac:dyDescent="0.3">
      <c r="A73" s="1">
        <v>44300</v>
      </c>
      <c r="B73" t="s">
        <v>222</v>
      </c>
      <c r="C73" t="s">
        <v>148</v>
      </c>
      <c r="D73" t="s">
        <v>277</v>
      </c>
      <c r="E73" t="s">
        <v>149</v>
      </c>
      <c r="F73">
        <v>4995</v>
      </c>
      <c r="H73">
        <f t="shared" si="2"/>
        <v>4</v>
      </c>
      <c r="I73">
        <f t="shared" si="3"/>
        <v>2021</v>
      </c>
    </row>
    <row r="74" spans="1:9" x14ac:dyDescent="0.3">
      <c r="A74" s="1">
        <v>44300</v>
      </c>
      <c r="B74" t="s">
        <v>141</v>
      </c>
      <c r="G74">
        <v>12230</v>
      </c>
      <c r="H74">
        <f t="shared" si="2"/>
        <v>4</v>
      </c>
      <c r="I74">
        <f t="shared" si="3"/>
        <v>2021</v>
      </c>
    </row>
    <row r="75" spans="1:9" x14ac:dyDescent="0.3">
      <c r="A75" s="1">
        <v>44300</v>
      </c>
      <c r="B75" t="s">
        <v>141</v>
      </c>
      <c r="C75" t="s">
        <v>148</v>
      </c>
      <c r="D75" t="s">
        <v>37</v>
      </c>
      <c r="E75" t="s">
        <v>149</v>
      </c>
      <c r="F75">
        <v>1850</v>
      </c>
      <c r="H75">
        <f t="shared" si="2"/>
        <v>4</v>
      </c>
      <c r="I75">
        <f t="shared" si="3"/>
        <v>2021</v>
      </c>
    </row>
    <row r="76" spans="1:9" x14ac:dyDescent="0.3">
      <c r="A76" s="1">
        <v>44300</v>
      </c>
      <c r="B76" t="s">
        <v>141</v>
      </c>
      <c r="C76" t="s">
        <v>278</v>
      </c>
      <c r="D76" t="s">
        <v>25</v>
      </c>
      <c r="E76" t="s">
        <v>105</v>
      </c>
      <c r="F76">
        <v>1250</v>
      </c>
      <c r="H76">
        <f t="shared" si="2"/>
        <v>4</v>
      </c>
      <c r="I76">
        <f t="shared" si="3"/>
        <v>2021</v>
      </c>
    </row>
    <row r="77" spans="1:9" x14ac:dyDescent="0.3">
      <c r="A77" s="1">
        <v>44300</v>
      </c>
      <c r="B77" t="s">
        <v>141</v>
      </c>
      <c r="C77" t="s">
        <v>98</v>
      </c>
      <c r="D77" t="s">
        <v>93</v>
      </c>
      <c r="E77" t="s">
        <v>99</v>
      </c>
      <c r="F77">
        <v>2160</v>
      </c>
      <c r="H77">
        <f t="shared" si="2"/>
        <v>4</v>
      </c>
      <c r="I77">
        <f t="shared" si="3"/>
        <v>2021</v>
      </c>
    </row>
    <row r="78" spans="1:9" x14ac:dyDescent="0.3">
      <c r="A78" s="1">
        <v>44300</v>
      </c>
      <c r="B78" t="s">
        <v>141</v>
      </c>
      <c r="C78" t="s">
        <v>134</v>
      </c>
      <c r="D78" t="s">
        <v>23</v>
      </c>
      <c r="E78" t="s">
        <v>122</v>
      </c>
      <c r="F78">
        <v>1680</v>
      </c>
      <c r="H78">
        <f t="shared" si="2"/>
        <v>4</v>
      </c>
      <c r="I78">
        <f t="shared" si="3"/>
        <v>2021</v>
      </c>
    </row>
    <row r="79" spans="1:9" x14ac:dyDescent="0.3">
      <c r="A79" s="1">
        <v>44300</v>
      </c>
      <c r="B79" t="s">
        <v>141</v>
      </c>
      <c r="C79" t="s">
        <v>108</v>
      </c>
      <c r="D79" t="s">
        <v>12</v>
      </c>
      <c r="E79" t="s">
        <v>122</v>
      </c>
      <c r="F79">
        <v>1120</v>
      </c>
      <c r="H79">
        <f t="shared" si="2"/>
        <v>4</v>
      </c>
      <c r="I79">
        <f t="shared" si="3"/>
        <v>2021</v>
      </c>
    </row>
    <row r="80" spans="1:9" x14ac:dyDescent="0.3">
      <c r="A80" s="1">
        <v>44300</v>
      </c>
      <c r="B80" t="s">
        <v>141</v>
      </c>
      <c r="C80" t="s">
        <v>146</v>
      </c>
      <c r="D80" t="s">
        <v>12</v>
      </c>
      <c r="E80" t="s">
        <v>122</v>
      </c>
      <c r="F80">
        <v>1120</v>
      </c>
      <c r="H80">
        <f t="shared" si="2"/>
        <v>4</v>
      </c>
      <c r="I80">
        <f t="shared" si="3"/>
        <v>2021</v>
      </c>
    </row>
    <row r="81" spans="1:9" x14ac:dyDescent="0.3">
      <c r="A81" s="1">
        <v>44300</v>
      </c>
      <c r="B81" t="s">
        <v>141</v>
      </c>
      <c r="C81" t="s">
        <v>116</v>
      </c>
      <c r="D81" t="s">
        <v>5</v>
      </c>
      <c r="E81" t="s">
        <v>229</v>
      </c>
      <c r="F81">
        <v>645</v>
      </c>
      <c r="H81">
        <f t="shared" si="2"/>
        <v>4</v>
      </c>
      <c r="I81">
        <f t="shared" si="3"/>
        <v>2021</v>
      </c>
    </row>
    <row r="82" spans="1:9" x14ac:dyDescent="0.3">
      <c r="A82" s="1">
        <v>44300</v>
      </c>
      <c r="B82" t="s">
        <v>141</v>
      </c>
      <c r="C82" t="s">
        <v>135</v>
      </c>
      <c r="D82" t="s">
        <v>5</v>
      </c>
      <c r="E82" t="s">
        <v>229</v>
      </c>
      <c r="F82">
        <v>645</v>
      </c>
      <c r="H82">
        <f t="shared" si="2"/>
        <v>4</v>
      </c>
      <c r="I82">
        <f t="shared" si="3"/>
        <v>2021</v>
      </c>
    </row>
    <row r="83" spans="1:9" x14ac:dyDescent="0.3">
      <c r="A83" s="1">
        <v>44300</v>
      </c>
      <c r="B83" t="s">
        <v>141</v>
      </c>
      <c r="C83" t="s">
        <v>169</v>
      </c>
      <c r="D83" t="s">
        <v>12</v>
      </c>
      <c r="E83" t="s">
        <v>155</v>
      </c>
      <c r="F83">
        <v>1760</v>
      </c>
      <c r="H83">
        <f t="shared" si="2"/>
        <v>4</v>
      </c>
      <c r="I83">
        <f t="shared" si="3"/>
        <v>2021</v>
      </c>
    </row>
    <row r="84" spans="1:9" x14ac:dyDescent="0.3">
      <c r="A84" s="1">
        <v>44300</v>
      </c>
      <c r="B84" t="s">
        <v>83</v>
      </c>
      <c r="G84">
        <v>9900</v>
      </c>
      <c r="H84">
        <f t="shared" si="2"/>
        <v>4</v>
      </c>
      <c r="I84">
        <f t="shared" si="3"/>
        <v>2021</v>
      </c>
    </row>
    <row r="85" spans="1:9" x14ac:dyDescent="0.3">
      <c r="A85" s="1">
        <v>44300</v>
      </c>
      <c r="B85" t="s">
        <v>83</v>
      </c>
      <c r="C85" t="s">
        <v>40</v>
      </c>
      <c r="D85" t="s">
        <v>39</v>
      </c>
      <c r="E85" t="s">
        <v>104</v>
      </c>
      <c r="F85">
        <v>9900</v>
      </c>
      <c r="H85">
        <f t="shared" si="2"/>
        <v>4</v>
      </c>
      <c r="I85">
        <f t="shared" si="3"/>
        <v>2021</v>
      </c>
    </row>
    <row r="86" spans="1:9" x14ac:dyDescent="0.3">
      <c r="A86" s="1">
        <v>44300</v>
      </c>
      <c r="B86" t="s">
        <v>82</v>
      </c>
      <c r="G86">
        <v>10700</v>
      </c>
      <c r="H86">
        <f t="shared" si="2"/>
        <v>4</v>
      </c>
      <c r="I86">
        <f t="shared" si="3"/>
        <v>2021</v>
      </c>
    </row>
    <row r="87" spans="1:9" x14ac:dyDescent="0.3">
      <c r="A87" s="1">
        <v>44300</v>
      </c>
      <c r="B87" t="s">
        <v>82</v>
      </c>
      <c r="C87" t="s">
        <v>40</v>
      </c>
      <c r="D87" t="s">
        <v>61</v>
      </c>
      <c r="E87" t="s">
        <v>104</v>
      </c>
      <c r="F87">
        <v>4950</v>
      </c>
      <c r="H87">
        <f t="shared" si="2"/>
        <v>4</v>
      </c>
      <c r="I87">
        <f t="shared" si="3"/>
        <v>2021</v>
      </c>
    </row>
    <row r="88" spans="1:9" x14ac:dyDescent="0.3">
      <c r="A88" s="1">
        <v>44300</v>
      </c>
      <c r="B88" t="s">
        <v>82</v>
      </c>
      <c r="C88" t="s">
        <v>38</v>
      </c>
      <c r="D88" t="s">
        <v>18</v>
      </c>
      <c r="E88" t="s">
        <v>13</v>
      </c>
      <c r="F88">
        <v>2070</v>
      </c>
      <c r="H88">
        <f t="shared" si="2"/>
        <v>4</v>
      </c>
      <c r="I88">
        <f t="shared" si="3"/>
        <v>2021</v>
      </c>
    </row>
    <row r="89" spans="1:9" x14ac:dyDescent="0.3">
      <c r="A89" s="1">
        <v>44300</v>
      </c>
      <c r="B89" t="s">
        <v>82</v>
      </c>
      <c r="C89" t="s">
        <v>11</v>
      </c>
      <c r="D89" t="s">
        <v>93</v>
      </c>
      <c r="E89" t="s">
        <v>13</v>
      </c>
      <c r="F89">
        <v>1380</v>
      </c>
      <c r="H89">
        <f t="shared" si="2"/>
        <v>4</v>
      </c>
      <c r="I89">
        <f t="shared" si="3"/>
        <v>2021</v>
      </c>
    </row>
    <row r="90" spans="1:9" x14ac:dyDescent="0.3">
      <c r="A90" s="1">
        <v>44300</v>
      </c>
      <c r="B90" t="s">
        <v>82</v>
      </c>
      <c r="C90" t="s">
        <v>40</v>
      </c>
      <c r="D90" t="s">
        <v>25</v>
      </c>
      <c r="E90" t="s">
        <v>104</v>
      </c>
      <c r="F90">
        <v>1650</v>
      </c>
      <c r="H90">
        <f t="shared" si="2"/>
        <v>4</v>
      </c>
      <c r="I90">
        <f t="shared" si="3"/>
        <v>2021</v>
      </c>
    </row>
    <row r="91" spans="1:9" x14ac:dyDescent="0.3">
      <c r="A91" s="1">
        <v>44300</v>
      </c>
      <c r="B91" t="s">
        <v>82</v>
      </c>
      <c r="C91" t="s">
        <v>111</v>
      </c>
      <c r="D91" t="s">
        <v>12</v>
      </c>
      <c r="E91" t="s">
        <v>60</v>
      </c>
      <c r="F91">
        <v>650</v>
      </c>
      <c r="H91">
        <f t="shared" si="2"/>
        <v>4</v>
      </c>
      <c r="I91">
        <f t="shared" si="3"/>
        <v>2021</v>
      </c>
    </row>
    <row r="92" spans="1:9" x14ac:dyDescent="0.3">
      <c r="A92" s="1">
        <v>44300</v>
      </c>
      <c r="B92" t="s">
        <v>141</v>
      </c>
      <c r="G92">
        <v>14290</v>
      </c>
      <c r="H92">
        <f t="shared" si="2"/>
        <v>4</v>
      </c>
      <c r="I92">
        <f t="shared" si="3"/>
        <v>2021</v>
      </c>
    </row>
    <row r="93" spans="1:9" x14ac:dyDescent="0.3">
      <c r="A93" s="1">
        <v>44300</v>
      </c>
      <c r="B93" t="s">
        <v>141</v>
      </c>
      <c r="C93" t="s">
        <v>231</v>
      </c>
      <c r="D93" t="s">
        <v>18</v>
      </c>
      <c r="E93" t="s">
        <v>122</v>
      </c>
      <c r="F93">
        <v>3360</v>
      </c>
      <c r="H93">
        <f t="shared" si="2"/>
        <v>4</v>
      </c>
      <c r="I93">
        <f t="shared" si="3"/>
        <v>2021</v>
      </c>
    </row>
    <row r="94" spans="1:9" x14ac:dyDescent="0.3">
      <c r="A94" s="1">
        <v>44300</v>
      </c>
      <c r="B94" t="s">
        <v>141</v>
      </c>
      <c r="C94" t="s">
        <v>44</v>
      </c>
      <c r="D94" t="s">
        <v>23</v>
      </c>
      <c r="E94" t="s">
        <v>43</v>
      </c>
      <c r="F94">
        <v>1170</v>
      </c>
      <c r="H94">
        <f t="shared" si="2"/>
        <v>4</v>
      </c>
      <c r="I94">
        <f t="shared" si="3"/>
        <v>2021</v>
      </c>
    </row>
    <row r="95" spans="1:9" x14ac:dyDescent="0.3">
      <c r="A95" s="1">
        <v>44300</v>
      </c>
      <c r="B95" t="s">
        <v>141</v>
      </c>
      <c r="C95" t="s">
        <v>204</v>
      </c>
      <c r="D95" t="s">
        <v>93</v>
      </c>
      <c r="E95" t="s">
        <v>205</v>
      </c>
      <c r="F95">
        <v>3000</v>
      </c>
      <c r="H95">
        <f t="shared" si="2"/>
        <v>4</v>
      </c>
      <c r="I95">
        <f t="shared" si="3"/>
        <v>2021</v>
      </c>
    </row>
    <row r="96" spans="1:9" x14ac:dyDescent="0.3">
      <c r="A96" s="1">
        <v>44300</v>
      </c>
      <c r="B96" t="s">
        <v>141</v>
      </c>
      <c r="C96" t="s">
        <v>106</v>
      </c>
      <c r="D96" t="s">
        <v>23</v>
      </c>
      <c r="E96" t="s">
        <v>226</v>
      </c>
      <c r="F96">
        <v>1290</v>
      </c>
      <c r="H96">
        <f t="shared" si="2"/>
        <v>4</v>
      </c>
      <c r="I96">
        <f t="shared" si="3"/>
        <v>2021</v>
      </c>
    </row>
    <row r="97" spans="1:9" x14ac:dyDescent="0.3">
      <c r="A97" s="1">
        <v>44300</v>
      </c>
      <c r="B97" t="s">
        <v>141</v>
      </c>
      <c r="C97" t="s">
        <v>112</v>
      </c>
      <c r="D97" t="s">
        <v>93</v>
      </c>
      <c r="E97" t="s">
        <v>229</v>
      </c>
      <c r="F97">
        <v>2580</v>
      </c>
      <c r="H97">
        <f t="shared" si="2"/>
        <v>4</v>
      </c>
      <c r="I97">
        <f t="shared" si="3"/>
        <v>2021</v>
      </c>
    </row>
    <row r="98" spans="1:9" x14ac:dyDescent="0.3">
      <c r="A98" s="1">
        <v>44300</v>
      </c>
      <c r="B98" t="s">
        <v>141</v>
      </c>
      <c r="C98" t="s">
        <v>243</v>
      </c>
      <c r="D98" t="s">
        <v>12</v>
      </c>
      <c r="E98" t="s">
        <v>229</v>
      </c>
      <c r="F98">
        <v>1290</v>
      </c>
      <c r="H98">
        <f t="shared" si="2"/>
        <v>4</v>
      </c>
      <c r="I98">
        <f t="shared" si="3"/>
        <v>2021</v>
      </c>
    </row>
    <row r="99" spans="1:9" x14ac:dyDescent="0.3">
      <c r="A99" s="1">
        <v>44300</v>
      </c>
      <c r="B99" t="s">
        <v>141</v>
      </c>
      <c r="C99" t="s">
        <v>148</v>
      </c>
      <c r="D99" t="s">
        <v>12</v>
      </c>
      <c r="E99" t="s">
        <v>149</v>
      </c>
      <c r="H99">
        <f t="shared" si="2"/>
        <v>4</v>
      </c>
      <c r="I99">
        <f t="shared" si="3"/>
        <v>2021</v>
      </c>
    </row>
    <row r="100" spans="1:9" x14ac:dyDescent="0.3">
      <c r="A100" s="1">
        <v>44300</v>
      </c>
      <c r="B100" t="s">
        <v>141</v>
      </c>
      <c r="C100" t="s">
        <v>239</v>
      </c>
      <c r="D100" t="s">
        <v>12</v>
      </c>
      <c r="E100" t="s">
        <v>178</v>
      </c>
      <c r="F100">
        <v>1600</v>
      </c>
      <c r="H100">
        <f t="shared" si="2"/>
        <v>4</v>
      </c>
      <c r="I100">
        <f t="shared" si="3"/>
        <v>2021</v>
      </c>
    </row>
    <row r="101" spans="1:9" x14ac:dyDescent="0.3">
      <c r="A101" s="1">
        <v>44300</v>
      </c>
      <c r="B101" t="s">
        <v>51</v>
      </c>
      <c r="G101">
        <v>3300</v>
      </c>
      <c r="H101">
        <f t="shared" si="2"/>
        <v>4</v>
      </c>
      <c r="I101">
        <f t="shared" si="3"/>
        <v>2021</v>
      </c>
    </row>
    <row r="102" spans="1:9" x14ac:dyDescent="0.3">
      <c r="A102" s="1">
        <v>44300</v>
      </c>
      <c r="B102" t="s">
        <v>51</v>
      </c>
      <c r="C102" t="s">
        <v>40</v>
      </c>
      <c r="D102" t="s">
        <v>37</v>
      </c>
      <c r="E102" t="s">
        <v>104</v>
      </c>
      <c r="F102">
        <v>3300</v>
      </c>
      <c r="H102">
        <f t="shared" si="2"/>
        <v>4</v>
      </c>
      <c r="I102">
        <f t="shared" si="3"/>
        <v>2021</v>
      </c>
    </row>
    <row r="103" spans="1:9" x14ac:dyDescent="0.3">
      <c r="A103" s="1">
        <v>44301</v>
      </c>
      <c r="B103" t="s">
        <v>45</v>
      </c>
      <c r="G103">
        <v>20200</v>
      </c>
      <c r="H103">
        <f t="shared" si="2"/>
        <v>4</v>
      </c>
      <c r="I103">
        <f t="shared" si="3"/>
        <v>2021</v>
      </c>
    </row>
    <row r="104" spans="1:9" x14ac:dyDescent="0.3">
      <c r="A104" s="1">
        <v>44301</v>
      </c>
      <c r="B104" t="s">
        <v>45</v>
      </c>
      <c r="C104" t="s">
        <v>142</v>
      </c>
      <c r="D104" t="s">
        <v>37</v>
      </c>
      <c r="E104" t="s">
        <v>156</v>
      </c>
      <c r="F104">
        <v>5000</v>
      </c>
      <c r="H104">
        <f t="shared" si="2"/>
        <v>4</v>
      </c>
      <c r="I104">
        <f t="shared" si="3"/>
        <v>2021</v>
      </c>
    </row>
    <row r="105" spans="1:9" x14ac:dyDescent="0.3">
      <c r="A105" s="1">
        <v>44301</v>
      </c>
      <c r="B105" t="s">
        <v>45</v>
      </c>
      <c r="C105" t="s">
        <v>123</v>
      </c>
      <c r="D105" t="s">
        <v>37</v>
      </c>
      <c r="E105" t="s">
        <v>124</v>
      </c>
      <c r="F105">
        <v>7400</v>
      </c>
      <c r="H105">
        <f t="shared" si="2"/>
        <v>4</v>
      </c>
      <c r="I105">
        <f t="shared" si="3"/>
        <v>2021</v>
      </c>
    </row>
    <row r="106" spans="1:9" x14ac:dyDescent="0.3">
      <c r="A106" s="1">
        <v>44301</v>
      </c>
      <c r="B106" t="s">
        <v>45</v>
      </c>
      <c r="C106" t="s">
        <v>101</v>
      </c>
      <c r="D106" t="s">
        <v>25</v>
      </c>
      <c r="E106" t="s">
        <v>202</v>
      </c>
      <c r="F106">
        <v>2450</v>
      </c>
      <c r="H106">
        <f t="shared" si="2"/>
        <v>4</v>
      </c>
      <c r="I106">
        <f t="shared" si="3"/>
        <v>2021</v>
      </c>
    </row>
    <row r="107" spans="1:9" x14ac:dyDescent="0.3">
      <c r="A107" s="1">
        <v>44301</v>
      </c>
      <c r="B107" t="s">
        <v>45</v>
      </c>
      <c r="C107" t="s">
        <v>108</v>
      </c>
      <c r="D107" t="s">
        <v>25</v>
      </c>
      <c r="E107" t="s">
        <v>14</v>
      </c>
      <c r="F107">
        <v>2675</v>
      </c>
      <c r="H107">
        <f t="shared" si="2"/>
        <v>4</v>
      </c>
      <c r="I107">
        <f t="shared" si="3"/>
        <v>2021</v>
      </c>
    </row>
    <row r="108" spans="1:9" x14ac:dyDescent="0.3">
      <c r="A108" s="1">
        <v>44301</v>
      </c>
      <c r="B108" t="s">
        <v>45</v>
      </c>
      <c r="C108" t="s">
        <v>146</v>
      </c>
      <c r="D108" t="s">
        <v>25</v>
      </c>
      <c r="E108" t="s">
        <v>14</v>
      </c>
      <c r="F108">
        <v>2675</v>
      </c>
      <c r="H108">
        <f t="shared" si="2"/>
        <v>4</v>
      </c>
      <c r="I108">
        <f t="shared" si="3"/>
        <v>2021</v>
      </c>
    </row>
    <row r="109" spans="1:9" x14ac:dyDescent="0.3">
      <c r="A109" s="1">
        <v>44301</v>
      </c>
      <c r="B109" t="s">
        <v>130</v>
      </c>
      <c r="G109">
        <v>19920</v>
      </c>
      <c r="H109">
        <f t="shared" si="2"/>
        <v>4</v>
      </c>
      <c r="I109">
        <f t="shared" si="3"/>
        <v>2021</v>
      </c>
    </row>
    <row r="110" spans="1:9" x14ac:dyDescent="0.3">
      <c r="A110" s="1">
        <v>44301</v>
      </c>
      <c r="B110" t="s">
        <v>130</v>
      </c>
      <c r="C110" t="s">
        <v>112</v>
      </c>
      <c r="D110" t="s">
        <v>12</v>
      </c>
      <c r="E110" t="s">
        <v>229</v>
      </c>
      <c r="F110">
        <v>1290</v>
      </c>
      <c r="H110">
        <f t="shared" si="2"/>
        <v>4</v>
      </c>
      <c r="I110">
        <f t="shared" si="3"/>
        <v>2021</v>
      </c>
    </row>
    <row r="111" spans="1:9" x14ac:dyDescent="0.3">
      <c r="A111" s="1">
        <v>44301</v>
      </c>
      <c r="B111" t="s">
        <v>130</v>
      </c>
      <c r="C111" t="s">
        <v>123</v>
      </c>
      <c r="D111" t="s">
        <v>23</v>
      </c>
      <c r="E111" t="s">
        <v>199</v>
      </c>
      <c r="F111">
        <v>2340</v>
      </c>
      <c r="H111">
        <f t="shared" si="2"/>
        <v>4</v>
      </c>
      <c r="I111">
        <f t="shared" si="3"/>
        <v>2021</v>
      </c>
    </row>
    <row r="112" spans="1:9" x14ac:dyDescent="0.3">
      <c r="A112" s="1">
        <v>44301</v>
      </c>
      <c r="B112" t="s">
        <v>130</v>
      </c>
      <c r="C112" t="s">
        <v>142</v>
      </c>
      <c r="D112" t="s">
        <v>25</v>
      </c>
      <c r="E112" t="s">
        <v>31</v>
      </c>
      <c r="F112">
        <v>2600</v>
      </c>
      <c r="H112">
        <f t="shared" si="2"/>
        <v>4</v>
      </c>
      <c r="I112">
        <f t="shared" si="3"/>
        <v>2021</v>
      </c>
    </row>
    <row r="113" spans="1:9" x14ac:dyDescent="0.3">
      <c r="A113" s="1">
        <v>44301</v>
      </c>
      <c r="B113" t="s">
        <v>130</v>
      </c>
      <c r="C113" t="s">
        <v>108</v>
      </c>
      <c r="D113" t="s">
        <v>25</v>
      </c>
      <c r="E113" t="s">
        <v>69</v>
      </c>
      <c r="F113">
        <v>2750</v>
      </c>
      <c r="H113">
        <f t="shared" si="2"/>
        <v>4</v>
      </c>
      <c r="I113">
        <f t="shared" si="3"/>
        <v>2021</v>
      </c>
    </row>
    <row r="114" spans="1:9" x14ac:dyDescent="0.3">
      <c r="A114" s="1">
        <v>44301</v>
      </c>
      <c r="B114" t="s">
        <v>130</v>
      </c>
      <c r="C114" t="s">
        <v>135</v>
      </c>
      <c r="D114" t="s">
        <v>5</v>
      </c>
      <c r="E114" t="s">
        <v>229</v>
      </c>
      <c r="F114">
        <v>645</v>
      </c>
      <c r="H114">
        <f t="shared" si="2"/>
        <v>4</v>
      </c>
      <c r="I114">
        <f t="shared" si="3"/>
        <v>2021</v>
      </c>
    </row>
    <row r="115" spans="1:9" x14ac:dyDescent="0.3">
      <c r="A115" s="1">
        <v>44301</v>
      </c>
      <c r="B115" t="s">
        <v>130</v>
      </c>
      <c r="C115" t="s">
        <v>231</v>
      </c>
      <c r="D115" t="s">
        <v>25</v>
      </c>
      <c r="E115" t="s">
        <v>69</v>
      </c>
      <c r="F115">
        <v>2750</v>
      </c>
      <c r="H115">
        <f t="shared" si="2"/>
        <v>4</v>
      </c>
      <c r="I115">
        <f t="shared" si="3"/>
        <v>2021</v>
      </c>
    </row>
    <row r="116" spans="1:9" x14ac:dyDescent="0.3">
      <c r="A116" s="1">
        <v>44301</v>
      </c>
      <c r="B116" t="s">
        <v>130</v>
      </c>
      <c r="C116" t="s">
        <v>204</v>
      </c>
      <c r="D116" t="s">
        <v>25</v>
      </c>
      <c r="E116" t="s">
        <v>205</v>
      </c>
      <c r="F116">
        <v>3750</v>
      </c>
      <c r="H116">
        <f t="shared" si="2"/>
        <v>4</v>
      </c>
      <c r="I116">
        <f t="shared" si="3"/>
        <v>2021</v>
      </c>
    </row>
    <row r="117" spans="1:9" x14ac:dyDescent="0.3">
      <c r="A117" s="1">
        <v>44301</v>
      </c>
      <c r="B117" t="s">
        <v>130</v>
      </c>
      <c r="C117" t="s">
        <v>216</v>
      </c>
      <c r="D117" t="s">
        <v>12</v>
      </c>
      <c r="E117" t="s">
        <v>205</v>
      </c>
      <c r="F117">
        <v>1500</v>
      </c>
      <c r="H117">
        <f t="shared" si="2"/>
        <v>4</v>
      </c>
      <c r="I117">
        <f t="shared" si="3"/>
        <v>2021</v>
      </c>
    </row>
    <row r="118" spans="1:9" x14ac:dyDescent="0.3">
      <c r="A118" s="1">
        <v>44301</v>
      </c>
      <c r="B118" t="s">
        <v>130</v>
      </c>
      <c r="C118" t="s">
        <v>175</v>
      </c>
      <c r="D118" t="s">
        <v>5</v>
      </c>
      <c r="E118" t="s">
        <v>229</v>
      </c>
      <c r="F118">
        <v>645</v>
      </c>
      <c r="H118">
        <f t="shared" si="2"/>
        <v>4</v>
      </c>
      <c r="I118">
        <f t="shared" si="3"/>
        <v>2021</v>
      </c>
    </row>
    <row r="119" spans="1:9" x14ac:dyDescent="0.3">
      <c r="A119" s="1">
        <v>44301</v>
      </c>
      <c r="B119" t="s">
        <v>130</v>
      </c>
      <c r="C119" t="s">
        <v>134</v>
      </c>
      <c r="D119" t="s">
        <v>12</v>
      </c>
      <c r="E119" t="s">
        <v>69</v>
      </c>
      <c r="F119">
        <v>1100</v>
      </c>
      <c r="H119">
        <f t="shared" si="2"/>
        <v>4</v>
      </c>
      <c r="I119">
        <f t="shared" si="3"/>
        <v>2021</v>
      </c>
    </row>
    <row r="120" spans="1:9" x14ac:dyDescent="0.3">
      <c r="A120" s="1">
        <v>44301</v>
      </c>
      <c r="B120" t="s">
        <v>130</v>
      </c>
      <c r="C120" t="s">
        <v>187</v>
      </c>
      <c r="D120" t="s">
        <v>5</v>
      </c>
      <c r="E120" t="s">
        <v>69</v>
      </c>
      <c r="F120">
        <v>550</v>
      </c>
      <c r="H120">
        <f t="shared" si="2"/>
        <v>4</v>
      </c>
      <c r="I120">
        <f t="shared" si="3"/>
        <v>2021</v>
      </c>
    </row>
    <row r="121" spans="1:9" x14ac:dyDescent="0.3">
      <c r="A121" s="1">
        <v>44301</v>
      </c>
      <c r="B121" t="s">
        <v>130</v>
      </c>
      <c r="C121" t="s">
        <v>148</v>
      </c>
      <c r="D121" t="s">
        <v>23</v>
      </c>
      <c r="E121" t="s">
        <v>177</v>
      </c>
      <c r="H121">
        <f t="shared" si="2"/>
        <v>4</v>
      </c>
      <c r="I121">
        <f t="shared" si="3"/>
        <v>2021</v>
      </c>
    </row>
    <row r="122" spans="1:9" x14ac:dyDescent="0.3">
      <c r="A122" s="1">
        <v>44301</v>
      </c>
      <c r="B122" t="s">
        <v>3</v>
      </c>
      <c r="G122">
        <v>3290</v>
      </c>
      <c r="H122">
        <f t="shared" si="2"/>
        <v>4</v>
      </c>
      <c r="I122">
        <f t="shared" si="3"/>
        <v>2021</v>
      </c>
    </row>
    <row r="123" spans="1:9" x14ac:dyDescent="0.3">
      <c r="A123" s="1">
        <v>44301</v>
      </c>
      <c r="B123" t="s">
        <v>3</v>
      </c>
      <c r="C123" t="s">
        <v>98</v>
      </c>
      <c r="D123" t="s">
        <v>23</v>
      </c>
      <c r="E123" t="s">
        <v>99</v>
      </c>
      <c r="F123">
        <v>1620</v>
      </c>
      <c r="H123">
        <f t="shared" si="2"/>
        <v>4</v>
      </c>
      <c r="I123">
        <f t="shared" si="3"/>
        <v>2021</v>
      </c>
    </row>
    <row r="124" spans="1:9" x14ac:dyDescent="0.3">
      <c r="A124" s="1">
        <v>44301</v>
      </c>
      <c r="B124" t="s">
        <v>3</v>
      </c>
      <c r="C124" t="s">
        <v>40</v>
      </c>
      <c r="D124" t="s">
        <v>25</v>
      </c>
      <c r="E124" t="s">
        <v>279</v>
      </c>
      <c r="F124">
        <v>1670</v>
      </c>
      <c r="H124">
        <f t="shared" si="2"/>
        <v>4</v>
      </c>
      <c r="I124">
        <f t="shared" si="3"/>
        <v>2021</v>
      </c>
    </row>
    <row r="125" spans="1:9" x14ac:dyDescent="0.3">
      <c r="A125" s="1">
        <v>44302</v>
      </c>
      <c r="B125" t="s">
        <v>96</v>
      </c>
      <c r="G125">
        <v>20040</v>
      </c>
      <c r="H125">
        <f t="shared" ref="H125:H185" si="4">MONTH(A125)</f>
        <v>4</v>
      </c>
      <c r="I125">
        <f t="shared" ref="I125:I185" si="5">YEAR(A125)</f>
        <v>2021</v>
      </c>
    </row>
    <row r="126" spans="1:9" x14ac:dyDescent="0.3">
      <c r="A126" s="1">
        <v>44302</v>
      </c>
      <c r="B126" t="s">
        <v>96</v>
      </c>
      <c r="C126" t="s">
        <v>40</v>
      </c>
      <c r="D126" t="s">
        <v>54</v>
      </c>
      <c r="E126" t="s">
        <v>104</v>
      </c>
      <c r="F126">
        <v>13200</v>
      </c>
      <c r="H126">
        <f t="shared" si="4"/>
        <v>4</v>
      </c>
      <c r="I126">
        <f t="shared" si="5"/>
        <v>2021</v>
      </c>
    </row>
    <row r="127" spans="1:9" x14ac:dyDescent="0.3">
      <c r="A127" s="1">
        <v>44302</v>
      </c>
      <c r="B127" t="s">
        <v>96</v>
      </c>
      <c r="C127" t="s">
        <v>11</v>
      </c>
      <c r="D127" t="s">
        <v>37</v>
      </c>
      <c r="E127" t="s">
        <v>62</v>
      </c>
      <c r="F127">
        <v>3420</v>
      </c>
      <c r="H127">
        <f t="shared" si="4"/>
        <v>4</v>
      </c>
      <c r="I127">
        <f t="shared" si="5"/>
        <v>2021</v>
      </c>
    </row>
    <row r="128" spans="1:9" x14ac:dyDescent="0.3">
      <c r="A128" s="1">
        <v>44302</v>
      </c>
      <c r="B128" t="s">
        <v>96</v>
      </c>
      <c r="C128" t="s">
        <v>38</v>
      </c>
      <c r="D128" t="s">
        <v>37</v>
      </c>
      <c r="E128" t="s">
        <v>62</v>
      </c>
      <c r="F128">
        <v>3420</v>
      </c>
      <c r="H128">
        <f t="shared" si="4"/>
        <v>4</v>
      </c>
      <c r="I128">
        <f t="shared" si="5"/>
        <v>2021</v>
      </c>
    </row>
    <row r="129" spans="1:9" x14ac:dyDescent="0.3">
      <c r="A129" s="1">
        <v>44302</v>
      </c>
      <c r="B129" t="s">
        <v>83</v>
      </c>
      <c r="G129">
        <v>14250</v>
      </c>
      <c r="H129">
        <f t="shared" si="4"/>
        <v>4</v>
      </c>
      <c r="I129">
        <f t="shared" si="5"/>
        <v>2021</v>
      </c>
    </row>
    <row r="130" spans="1:9" x14ac:dyDescent="0.3">
      <c r="A130" s="1">
        <v>44302</v>
      </c>
      <c r="B130" t="s">
        <v>83</v>
      </c>
      <c r="C130" t="s">
        <v>40</v>
      </c>
      <c r="D130" t="s">
        <v>9</v>
      </c>
      <c r="E130" t="s">
        <v>104</v>
      </c>
      <c r="F130">
        <v>6600</v>
      </c>
      <c r="H130">
        <f t="shared" si="4"/>
        <v>4</v>
      </c>
      <c r="I130">
        <f t="shared" si="5"/>
        <v>2021</v>
      </c>
    </row>
    <row r="131" spans="1:9" x14ac:dyDescent="0.3">
      <c r="A131" s="1">
        <v>44302</v>
      </c>
      <c r="B131" t="s">
        <v>83</v>
      </c>
      <c r="C131" t="s">
        <v>225</v>
      </c>
      <c r="D131" t="s">
        <v>25</v>
      </c>
      <c r="E131" t="s">
        <v>118</v>
      </c>
      <c r="F131">
        <v>1700</v>
      </c>
      <c r="H131">
        <f t="shared" si="4"/>
        <v>4</v>
      </c>
      <c r="I131">
        <f t="shared" si="5"/>
        <v>2021</v>
      </c>
    </row>
    <row r="132" spans="1:9" x14ac:dyDescent="0.3">
      <c r="A132" s="1">
        <v>44302</v>
      </c>
      <c r="B132" t="s">
        <v>83</v>
      </c>
      <c r="C132" t="s">
        <v>280</v>
      </c>
      <c r="D132" t="s">
        <v>54</v>
      </c>
      <c r="E132" t="s">
        <v>113</v>
      </c>
      <c r="F132">
        <v>1700</v>
      </c>
      <c r="H132">
        <f t="shared" si="4"/>
        <v>4</v>
      </c>
      <c r="I132">
        <f t="shared" si="5"/>
        <v>2021</v>
      </c>
    </row>
    <row r="133" spans="1:9" x14ac:dyDescent="0.3">
      <c r="A133" s="1">
        <v>44302</v>
      </c>
      <c r="B133" t="s">
        <v>83</v>
      </c>
      <c r="C133" t="s">
        <v>21</v>
      </c>
      <c r="D133" t="s">
        <v>54</v>
      </c>
      <c r="E133" t="s">
        <v>113</v>
      </c>
      <c r="F133">
        <v>1700</v>
      </c>
      <c r="H133">
        <f t="shared" si="4"/>
        <v>4</v>
      </c>
      <c r="I133">
        <f t="shared" si="5"/>
        <v>2021</v>
      </c>
    </row>
    <row r="134" spans="1:9" x14ac:dyDescent="0.3">
      <c r="A134" s="1">
        <v>44302</v>
      </c>
      <c r="B134" t="s">
        <v>83</v>
      </c>
      <c r="C134" t="s">
        <v>56</v>
      </c>
      <c r="D134" t="s">
        <v>16</v>
      </c>
      <c r="E134" t="s">
        <v>58</v>
      </c>
      <c r="F134">
        <v>1530</v>
      </c>
      <c r="H134">
        <f t="shared" si="4"/>
        <v>4</v>
      </c>
      <c r="I134">
        <f t="shared" si="5"/>
        <v>2021</v>
      </c>
    </row>
    <row r="135" spans="1:9" x14ac:dyDescent="0.3">
      <c r="A135" s="1">
        <v>44302</v>
      </c>
      <c r="B135" t="s">
        <v>83</v>
      </c>
      <c r="C135" t="s">
        <v>281</v>
      </c>
      <c r="D135" t="s">
        <v>17</v>
      </c>
      <c r="E135" t="s">
        <v>113</v>
      </c>
      <c r="F135">
        <v>1020</v>
      </c>
      <c r="H135">
        <f t="shared" si="4"/>
        <v>4</v>
      </c>
      <c r="I135">
        <f t="shared" si="5"/>
        <v>2021</v>
      </c>
    </row>
    <row r="136" spans="1:9" x14ac:dyDescent="0.3">
      <c r="A136" s="1">
        <v>44302</v>
      </c>
      <c r="B136" t="s">
        <v>130</v>
      </c>
      <c r="G136">
        <v>9660</v>
      </c>
      <c r="H136">
        <f t="shared" si="4"/>
        <v>4</v>
      </c>
      <c r="I136">
        <f t="shared" si="5"/>
        <v>2021</v>
      </c>
    </row>
    <row r="137" spans="1:9" x14ac:dyDescent="0.3">
      <c r="A137" s="1">
        <v>44302</v>
      </c>
      <c r="B137" t="s">
        <v>130</v>
      </c>
      <c r="C137" t="s">
        <v>165</v>
      </c>
      <c r="D137" t="s">
        <v>37</v>
      </c>
      <c r="E137" t="s">
        <v>166</v>
      </c>
      <c r="F137">
        <v>2160</v>
      </c>
      <c r="H137">
        <f t="shared" si="4"/>
        <v>4</v>
      </c>
      <c r="I137">
        <f t="shared" si="5"/>
        <v>2021</v>
      </c>
    </row>
    <row r="138" spans="1:9" x14ac:dyDescent="0.3">
      <c r="A138" s="1">
        <v>44302</v>
      </c>
      <c r="B138" t="s">
        <v>130</v>
      </c>
      <c r="C138" t="s">
        <v>235</v>
      </c>
      <c r="D138" t="s">
        <v>18</v>
      </c>
      <c r="E138" t="s">
        <v>105</v>
      </c>
      <c r="F138">
        <v>1500</v>
      </c>
      <c r="H138">
        <f t="shared" si="4"/>
        <v>4</v>
      </c>
      <c r="I138">
        <f t="shared" si="5"/>
        <v>2021</v>
      </c>
    </row>
    <row r="139" spans="1:9" x14ac:dyDescent="0.3">
      <c r="A139" s="1">
        <v>44302</v>
      </c>
      <c r="B139" t="s">
        <v>130</v>
      </c>
      <c r="C139" t="s">
        <v>270</v>
      </c>
      <c r="D139" t="s">
        <v>9</v>
      </c>
      <c r="E139" t="s">
        <v>119</v>
      </c>
      <c r="F139">
        <v>6000</v>
      </c>
      <c r="H139">
        <f t="shared" si="4"/>
        <v>4</v>
      </c>
      <c r="I139">
        <f t="shared" si="5"/>
        <v>2021</v>
      </c>
    </row>
    <row r="140" spans="1:9" x14ac:dyDescent="0.3">
      <c r="A140" s="1">
        <v>44302</v>
      </c>
      <c r="B140" t="s">
        <v>48</v>
      </c>
      <c r="G140">
        <v>3990</v>
      </c>
      <c r="H140">
        <f t="shared" si="4"/>
        <v>4</v>
      </c>
      <c r="I140">
        <f t="shared" si="5"/>
        <v>2021</v>
      </c>
    </row>
    <row r="141" spans="1:9" x14ac:dyDescent="0.3">
      <c r="A141" s="1">
        <v>44302</v>
      </c>
      <c r="B141" t="s">
        <v>48</v>
      </c>
      <c r="C141" t="s">
        <v>40</v>
      </c>
      <c r="D141" t="s">
        <v>37</v>
      </c>
      <c r="E141" t="s">
        <v>104</v>
      </c>
      <c r="F141">
        <v>3300</v>
      </c>
      <c r="H141">
        <f t="shared" si="4"/>
        <v>4</v>
      </c>
      <c r="I141">
        <f t="shared" si="5"/>
        <v>2021</v>
      </c>
    </row>
    <row r="142" spans="1:9" x14ac:dyDescent="0.3">
      <c r="A142" s="1">
        <v>44302</v>
      </c>
      <c r="B142" t="s">
        <v>48</v>
      </c>
      <c r="C142" t="s">
        <v>38</v>
      </c>
      <c r="D142" t="s">
        <v>12</v>
      </c>
      <c r="E142" t="s">
        <v>13</v>
      </c>
      <c r="F142">
        <v>690</v>
      </c>
      <c r="H142">
        <f t="shared" si="4"/>
        <v>4</v>
      </c>
      <c r="I142">
        <f t="shared" si="5"/>
        <v>2021</v>
      </c>
    </row>
    <row r="143" spans="1:9" x14ac:dyDescent="0.3">
      <c r="A143" s="1">
        <v>44302</v>
      </c>
      <c r="B143" t="s">
        <v>8</v>
      </c>
      <c r="G143">
        <v>16500</v>
      </c>
      <c r="H143">
        <f t="shared" si="4"/>
        <v>4</v>
      </c>
      <c r="I143">
        <f t="shared" si="5"/>
        <v>2021</v>
      </c>
    </row>
    <row r="144" spans="1:9" x14ac:dyDescent="0.3">
      <c r="A144" s="1">
        <v>44302</v>
      </c>
      <c r="B144" t="s">
        <v>8</v>
      </c>
      <c r="C144" t="s">
        <v>194</v>
      </c>
      <c r="D144">
        <v>88</v>
      </c>
      <c r="F144">
        <v>16500</v>
      </c>
      <c r="H144">
        <f t="shared" si="4"/>
        <v>4</v>
      </c>
      <c r="I144">
        <f t="shared" si="5"/>
        <v>2021</v>
      </c>
    </row>
    <row r="145" spans="1:9" x14ac:dyDescent="0.3">
      <c r="A145" s="1">
        <v>44302</v>
      </c>
      <c r="B145" t="s">
        <v>8</v>
      </c>
      <c r="C145" t="s">
        <v>40</v>
      </c>
      <c r="D145" t="s">
        <v>52</v>
      </c>
      <c r="E145" t="s">
        <v>104</v>
      </c>
      <c r="F145">
        <v>16500</v>
      </c>
      <c r="H145">
        <f t="shared" si="4"/>
        <v>4</v>
      </c>
      <c r="I145">
        <f t="shared" si="5"/>
        <v>2021</v>
      </c>
    </row>
    <row r="146" spans="1:9" x14ac:dyDescent="0.3">
      <c r="A146" s="1">
        <v>44302</v>
      </c>
      <c r="B146" t="s">
        <v>10</v>
      </c>
      <c r="G146">
        <v>21750</v>
      </c>
      <c r="H146">
        <f t="shared" si="4"/>
        <v>4</v>
      </c>
      <c r="I146">
        <f t="shared" si="5"/>
        <v>2021</v>
      </c>
    </row>
    <row r="147" spans="1:9" x14ac:dyDescent="0.3">
      <c r="A147" s="1">
        <v>44302</v>
      </c>
      <c r="B147" t="s">
        <v>10</v>
      </c>
      <c r="C147" t="s">
        <v>40</v>
      </c>
      <c r="D147" t="s">
        <v>250</v>
      </c>
      <c r="E147" t="s">
        <v>104</v>
      </c>
      <c r="F147">
        <v>14850</v>
      </c>
      <c r="H147">
        <f t="shared" si="4"/>
        <v>4</v>
      </c>
      <c r="I147">
        <f t="shared" si="5"/>
        <v>2021</v>
      </c>
    </row>
    <row r="148" spans="1:9" x14ac:dyDescent="0.3">
      <c r="A148" s="1">
        <v>44302</v>
      </c>
      <c r="B148" t="s">
        <v>10</v>
      </c>
      <c r="C148" t="s">
        <v>38</v>
      </c>
      <c r="D148" t="s">
        <v>37</v>
      </c>
      <c r="E148" t="s">
        <v>13</v>
      </c>
      <c r="F148">
        <v>3450</v>
      </c>
      <c r="H148">
        <f t="shared" si="4"/>
        <v>4</v>
      </c>
      <c r="I148">
        <f t="shared" si="5"/>
        <v>2021</v>
      </c>
    </row>
    <row r="149" spans="1:9" x14ac:dyDescent="0.3">
      <c r="A149" s="1">
        <v>44302</v>
      </c>
      <c r="B149" t="s">
        <v>10</v>
      </c>
      <c r="C149" t="s">
        <v>11</v>
      </c>
      <c r="D149" t="s">
        <v>37</v>
      </c>
      <c r="E149" t="s">
        <v>13</v>
      </c>
      <c r="F149">
        <v>3450</v>
      </c>
      <c r="H149">
        <f t="shared" si="4"/>
        <v>4</v>
      </c>
      <c r="I149">
        <f t="shared" si="5"/>
        <v>2021</v>
      </c>
    </row>
    <row r="150" spans="1:9" x14ac:dyDescent="0.3">
      <c r="A150" s="1">
        <v>44302</v>
      </c>
      <c r="B150" t="s">
        <v>3</v>
      </c>
      <c r="G150">
        <v>885</v>
      </c>
      <c r="H150">
        <f t="shared" si="4"/>
        <v>4</v>
      </c>
      <c r="I150">
        <f t="shared" si="5"/>
        <v>2021</v>
      </c>
    </row>
    <row r="151" spans="1:9" x14ac:dyDescent="0.3">
      <c r="A151" s="1">
        <v>44302</v>
      </c>
      <c r="B151" t="s">
        <v>3</v>
      </c>
      <c r="C151" t="s">
        <v>40</v>
      </c>
      <c r="D151" t="s">
        <v>5</v>
      </c>
      <c r="E151" t="s">
        <v>117</v>
      </c>
      <c r="F151">
        <v>335</v>
      </c>
      <c r="H151">
        <f t="shared" si="4"/>
        <v>4</v>
      </c>
      <c r="I151">
        <f t="shared" si="5"/>
        <v>2021</v>
      </c>
    </row>
    <row r="152" spans="1:9" x14ac:dyDescent="0.3">
      <c r="A152" s="1">
        <v>44302</v>
      </c>
      <c r="B152" t="s">
        <v>3</v>
      </c>
      <c r="C152" t="s">
        <v>94</v>
      </c>
      <c r="D152" t="s">
        <v>131</v>
      </c>
      <c r="E152" t="s">
        <v>132</v>
      </c>
      <c r="F152">
        <v>200</v>
      </c>
      <c r="H152">
        <f t="shared" si="4"/>
        <v>4</v>
      </c>
      <c r="I152">
        <f t="shared" si="5"/>
        <v>2021</v>
      </c>
    </row>
    <row r="153" spans="1:9" x14ac:dyDescent="0.3">
      <c r="A153" s="1">
        <v>44302</v>
      </c>
      <c r="B153" t="s">
        <v>3</v>
      </c>
      <c r="C153" t="s">
        <v>38</v>
      </c>
      <c r="D153" t="s">
        <v>5</v>
      </c>
      <c r="E153" t="s">
        <v>100</v>
      </c>
      <c r="F153">
        <v>350</v>
      </c>
      <c r="H153">
        <f t="shared" si="4"/>
        <v>4</v>
      </c>
      <c r="I153">
        <f t="shared" si="5"/>
        <v>2021</v>
      </c>
    </row>
    <row r="154" spans="1:9" x14ac:dyDescent="0.3">
      <c r="A154" s="1">
        <v>44304</v>
      </c>
      <c r="B154" t="s">
        <v>48</v>
      </c>
      <c r="G154">
        <v>15240</v>
      </c>
      <c r="H154">
        <f t="shared" si="4"/>
        <v>4</v>
      </c>
      <c r="I154">
        <f t="shared" si="5"/>
        <v>2021</v>
      </c>
    </row>
    <row r="155" spans="1:9" x14ac:dyDescent="0.3">
      <c r="A155" s="1">
        <v>44304</v>
      </c>
      <c r="B155" t="s">
        <v>48</v>
      </c>
      <c r="C155" t="s">
        <v>40</v>
      </c>
      <c r="D155" t="s">
        <v>282</v>
      </c>
      <c r="E155" t="s">
        <v>104</v>
      </c>
      <c r="F155">
        <v>13860</v>
      </c>
      <c r="H155">
        <f t="shared" si="4"/>
        <v>4</v>
      </c>
      <c r="I155">
        <f t="shared" si="5"/>
        <v>2021</v>
      </c>
    </row>
    <row r="156" spans="1:9" x14ac:dyDescent="0.3">
      <c r="A156" s="1">
        <v>44304</v>
      </c>
      <c r="B156" t="s">
        <v>48</v>
      </c>
      <c r="C156" t="s">
        <v>225</v>
      </c>
      <c r="D156" t="s">
        <v>93</v>
      </c>
      <c r="E156" t="s">
        <v>13</v>
      </c>
      <c r="F156">
        <v>1380</v>
      </c>
      <c r="H156">
        <f t="shared" si="4"/>
        <v>4</v>
      </c>
      <c r="I156">
        <f t="shared" si="5"/>
        <v>2021</v>
      </c>
    </row>
    <row r="157" spans="1:9" x14ac:dyDescent="0.3">
      <c r="A157" s="1">
        <v>44306</v>
      </c>
      <c r="B157" t="s">
        <v>283</v>
      </c>
      <c r="G157">
        <v>4105</v>
      </c>
      <c r="H157">
        <f t="shared" si="4"/>
        <v>4</v>
      </c>
      <c r="I157">
        <f t="shared" si="5"/>
        <v>2021</v>
      </c>
    </row>
    <row r="158" spans="1:9" x14ac:dyDescent="0.3">
      <c r="A158" s="1">
        <v>44306</v>
      </c>
      <c r="B158" t="s">
        <v>283</v>
      </c>
      <c r="C158" t="s">
        <v>101</v>
      </c>
      <c r="D158" t="s">
        <v>5</v>
      </c>
      <c r="E158" t="s">
        <v>156</v>
      </c>
      <c r="F158">
        <v>500</v>
      </c>
      <c r="H158">
        <f t="shared" si="4"/>
        <v>4</v>
      </c>
      <c r="I158">
        <f t="shared" si="5"/>
        <v>2021</v>
      </c>
    </row>
    <row r="159" spans="1:9" x14ac:dyDescent="0.3">
      <c r="A159" s="1">
        <v>44306</v>
      </c>
      <c r="B159" t="s">
        <v>283</v>
      </c>
      <c r="C159" t="s">
        <v>142</v>
      </c>
      <c r="D159" t="s">
        <v>12</v>
      </c>
      <c r="E159" t="s">
        <v>31</v>
      </c>
      <c r="F159">
        <v>1040</v>
      </c>
      <c r="H159">
        <f t="shared" si="4"/>
        <v>4</v>
      </c>
      <c r="I159">
        <f t="shared" si="5"/>
        <v>2021</v>
      </c>
    </row>
    <row r="160" spans="1:9" x14ac:dyDescent="0.3">
      <c r="A160" s="1">
        <v>44306</v>
      </c>
      <c r="B160" t="s">
        <v>283</v>
      </c>
      <c r="C160" t="s">
        <v>123</v>
      </c>
      <c r="D160" t="s">
        <v>12</v>
      </c>
      <c r="E160" t="s">
        <v>199</v>
      </c>
      <c r="F160">
        <v>1560</v>
      </c>
      <c r="H160">
        <f t="shared" si="4"/>
        <v>4</v>
      </c>
      <c r="I160">
        <f t="shared" si="5"/>
        <v>2021</v>
      </c>
    </row>
    <row r="161" spans="1:9" x14ac:dyDescent="0.3">
      <c r="A161" s="1">
        <v>44306</v>
      </c>
      <c r="B161" t="s">
        <v>283</v>
      </c>
      <c r="C161" t="s">
        <v>40</v>
      </c>
      <c r="D161" t="s">
        <v>23</v>
      </c>
      <c r="E161" t="s">
        <v>117</v>
      </c>
      <c r="F161">
        <v>1005</v>
      </c>
      <c r="H161">
        <f t="shared" si="4"/>
        <v>4</v>
      </c>
      <c r="I161">
        <f t="shared" si="5"/>
        <v>2021</v>
      </c>
    </row>
    <row r="162" spans="1:9" x14ac:dyDescent="0.3">
      <c r="A162" s="1">
        <v>44306</v>
      </c>
      <c r="B162" t="s">
        <v>158</v>
      </c>
      <c r="G162">
        <v>3850</v>
      </c>
      <c r="H162">
        <f t="shared" si="4"/>
        <v>4</v>
      </c>
      <c r="I162">
        <f t="shared" si="5"/>
        <v>2021</v>
      </c>
    </row>
    <row r="163" spans="1:9" x14ac:dyDescent="0.3">
      <c r="A163" s="1">
        <v>44306</v>
      </c>
      <c r="B163" t="s">
        <v>158</v>
      </c>
      <c r="C163" t="s">
        <v>40</v>
      </c>
      <c r="D163" t="s">
        <v>37</v>
      </c>
      <c r="E163" t="s">
        <v>117</v>
      </c>
      <c r="F163">
        <v>3350</v>
      </c>
      <c r="H163">
        <f t="shared" si="4"/>
        <v>4</v>
      </c>
      <c r="I163">
        <f t="shared" si="5"/>
        <v>2021</v>
      </c>
    </row>
    <row r="164" spans="1:9" x14ac:dyDescent="0.3">
      <c r="A164" s="1">
        <v>44306</v>
      </c>
      <c r="B164" t="s">
        <v>158</v>
      </c>
      <c r="C164" t="s">
        <v>101</v>
      </c>
      <c r="D164" t="s">
        <v>5</v>
      </c>
      <c r="E164" t="s">
        <v>156</v>
      </c>
      <c r="F164">
        <v>500</v>
      </c>
      <c r="H164">
        <f t="shared" si="4"/>
        <v>4</v>
      </c>
      <c r="I164">
        <f t="shared" si="5"/>
        <v>2021</v>
      </c>
    </row>
    <row r="165" spans="1:9" x14ac:dyDescent="0.3">
      <c r="A165" s="1">
        <v>44306</v>
      </c>
      <c r="B165" t="s">
        <v>248</v>
      </c>
      <c r="G165">
        <v>925</v>
      </c>
      <c r="H165">
        <f t="shared" si="4"/>
        <v>4</v>
      </c>
      <c r="I165">
        <f t="shared" si="5"/>
        <v>2021</v>
      </c>
    </row>
    <row r="166" spans="1:9" x14ac:dyDescent="0.3">
      <c r="A166" s="1">
        <v>44306</v>
      </c>
      <c r="B166" t="s">
        <v>248</v>
      </c>
      <c r="C166" t="s">
        <v>148</v>
      </c>
      <c r="D166" t="s">
        <v>25</v>
      </c>
      <c r="E166" t="s">
        <v>149</v>
      </c>
      <c r="F166">
        <v>925</v>
      </c>
      <c r="H166">
        <f t="shared" si="4"/>
        <v>4</v>
      </c>
      <c r="I166">
        <f t="shared" si="5"/>
        <v>2021</v>
      </c>
    </row>
    <row r="167" spans="1:9" x14ac:dyDescent="0.3">
      <c r="A167" s="1">
        <v>44306</v>
      </c>
      <c r="B167" t="s">
        <v>8</v>
      </c>
      <c r="G167">
        <v>10090</v>
      </c>
      <c r="H167">
        <f t="shared" si="4"/>
        <v>4</v>
      </c>
      <c r="I167">
        <f t="shared" si="5"/>
        <v>2021</v>
      </c>
    </row>
    <row r="168" spans="1:9" x14ac:dyDescent="0.3">
      <c r="A168" s="1">
        <v>44306</v>
      </c>
      <c r="B168" t="s">
        <v>8</v>
      </c>
      <c r="C168" t="s">
        <v>38</v>
      </c>
      <c r="D168" t="s">
        <v>25</v>
      </c>
      <c r="E168" t="s">
        <v>13</v>
      </c>
      <c r="F168">
        <v>1725</v>
      </c>
      <c r="H168">
        <f t="shared" si="4"/>
        <v>4</v>
      </c>
      <c r="I168">
        <f t="shared" si="5"/>
        <v>2021</v>
      </c>
    </row>
    <row r="169" spans="1:9" x14ac:dyDescent="0.3">
      <c r="A169" s="1">
        <v>44306</v>
      </c>
      <c r="B169" t="s">
        <v>8</v>
      </c>
      <c r="C169" t="s">
        <v>40</v>
      </c>
      <c r="D169" t="s">
        <v>9</v>
      </c>
      <c r="E169" t="s">
        <v>284</v>
      </c>
      <c r="F169">
        <v>6640</v>
      </c>
      <c r="H169">
        <f t="shared" si="4"/>
        <v>4</v>
      </c>
      <c r="I169">
        <f t="shared" si="5"/>
        <v>2021</v>
      </c>
    </row>
    <row r="170" spans="1:9" x14ac:dyDescent="0.3">
      <c r="A170" s="1">
        <v>44306</v>
      </c>
      <c r="B170" t="s">
        <v>8</v>
      </c>
      <c r="C170" t="s">
        <v>38</v>
      </c>
      <c r="D170" t="s">
        <v>5</v>
      </c>
      <c r="E170" t="s">
        <v>13</v>
      </c>
      <c r="F170">
        <v>345</v>
      </c>
      <c r="H170">
        <f t="shared" si="4"/>
        <v>4</v>
      </c>
      <c r="I170">
        <f t="shared" si="5"/>
        <v>2021</v>
      </c>
    </row>
    <row r="171" spans="1:9" x14ac:dyDescent="0.3">
      <c r="A171" s="1">
        <v>44306</v>
      </c>
      <c r="B171" t="s">
        <v>8</v>
      </c>
      <c r="C171" t="s">
        <v>11</v>
      </c>
      <c r="D171" t="s">
        <v>93</v>
      </c>
      <c r="E171" t="s">
        <v>13</v>
      </c>
      <c r="F171">
        <v>1380</v>
      </c>
      <c r="H171">
        <f t="shared" si="4"/>
        <v>4</v>
      </c>
      <c r="I171">
        <f t="shared" si="5"/>
        <v>2021</v>
      </c>
    </row>
    <row r="172" spans="1:9" x14ac:dyDescent="0.3">
      <c r="A172" s="1">
        <v>44306</v>
      </c>
      <c r="B172" t="s">
        <v>48</v>
      </c>
      <c r="G172">
        <v>37900</v>
      </c>
      <c r="H172">
        <f t="shared" si="4"/>
        <v>4</v>
      </c>
      <c r="I172">
        <f t="shared" si="5"/>
        <v>2021</v>
      </c>
    </row>
    <row r="173" spans="1:9" x14ac:dyDescent="0.3">
      <c r="A173" s="1">
        <v>44306</v>
      </c>
      <c r="B173" t="s">
        <v>48</v>
      </c>
      <c r="C173" t="s">
        <v>40</v>
      </c>
      <c r="D173" t="s">
        <v>25</v>
      </c>
      <c r="E173" t="s">
        <v>104</v>
      </c>
      <c r="F173">
        <v>1650</v>
      </c>
      <c r="H173">
        <f t="shared" si="4"/>
        <v>4</v>
      </c>
      <c r="I173">
        <f t="shared" si="5"/>
        <v>2021</v>
      </c>
    </row>
    <row r="174" spans="1:9" x14ac:dyDescent="0.3">
      <c r="A174" s="1">
        <v>44306</v>
      </c>
      <c r="B174" t="s">
        <v>48</v>
      </c>
      <c r="C174" t="s">
        <v>40</v>
      </c>
      <c r="D174" t="s">
        <v>65</v>
      </c>
      <c r="E174" t="s">
        <v>104</v>
      </c>
      <c r="F174">
        <v>33000</v>
      </c>
      <c r="H174">
        <f t="shared" si="4"/>
        <v>4</v>
      </c>
      <c r="I174">
        <f t="shared" si="5"/>
        <v>2021</v>
      </c>
    </row>
    <row r="175" spans="1:9" x14ac:dyDescent="0.3">
      <c r="A175" s="1">
        <v>44306</v>
      </c>
      <c r="B175" t="s">
        <v>48</v>
      </c>
      <c r="C175" t="s">
        <v>111</v>
      </c>
      <c r="D175" t="s">
        <v>37</v>
      </c>
      <c r="E175" t="s">
        <v>60</v>
      </c>
      <c r="F175">
        <v>3250</v>
      </c>
      <c r="H175">
        <f t="shared" si="4"/>
        <v>4</v>
      </c>
      <c r="I175">
        <f t="shared" si="5"/>
        <v>2021</v>
      </c>
    </row>
    <row r="176" spans="1:9" x14ac:dyDescent="0.3">
      <c r="A176" s="1">
        <v>44307</v>
      </c>
      <c r="B176" t="s">
        <v>234</v>
      </c>
      <c r="G176">
        <v>13470</v>
      </c>
      <c r="H176">
        <f t="shared" si="4"/>
        <v>4</v>
      </c>
      <c r="I176">
        <f t="shared" si="5"/>
        <v>2021</v>
      </c>
    </row>
    <row r="177" spans="1:9" x14ac:dyDescent="0.3">
      <c r="A177" s="1">
        <v>44307</v>
      </c>
      <c r="B177" t="s">
        <v>234</v>
      </c>
      <c r="C177" t="s">
        <v>285</v>
      </c>
      <c r="D177" t="s">
        <v>5</v>
      </c>
      <c r="E177" t="s">
        <v>156</v>
      </c>
      <c r="F177">
        <v>500</v>
      </c>
      <c r="H177">
        <f t="shared" si="4"/>
        <v>4</v>
      </c>
      <c r="I177">
        <f t="shared" si="5"/>
        <v>2021</v>
      </c>
    </row>
    <row r="178" spans="1:9" x14ac:dyDescent="0.3">
      <c r="A178" s="1">
        <v>44307</v>
      </c>
      <c r="B178" t="s">
        <v>234</v>
      </c>
      <c r="C178" t="s">
        <v>98</v>
      </c>
      <c r="D178" t="s">
        <v>93</v>
      </c>
      <c r="E178" t="s">
        <v>6</v>
      </c>
      <c r="F178">
        <v>2100</v>
      </c>
      <c r="H178">
        <f t="shared" si="4"/>
        <v>4</v>
      </c>
      <c r="I178">
        <f t="shared" si="5"/>
        <v>2021</v>
      </c>
    </row>
    <row r="179" spans="1:9" x14ac:dyDescent="0.3">
      <c r="A179" s="1">
        <v>44307</v>
      </c>
      <c r="B179" t="s">
        <v>234</v>
      </c>
      <c r="C179" t="s">
        <v>40</v>
      </c>
      <c r="D179" t="s">
        <v>37</v>
      </c>
      <c r="E179" t="s">
        <v>41</v>
      </c>
      <c r="F179">
        <v>3280</v>
      </c>
      <c r="H179">
        <f t="shared" si="4"/>
        <v>4</v>
      </c>
      <c r="I179">
        <f t="shared" si="5"/>
        <v>2021</v>
      </c>
    </row>
    <row r="180" spans="1:9" x14ac:dyDescent="0.3">
      <c r="A180" s="1">
        <v>44307</v>
      </c>
      <c r="B180" t="s">
        <v>234</v>
      </c>
      <c r="C180" t="s">
        <v>11</v>
      </c>
      <c r="D180" t="s">
        <v>18</v>
      </c>
      <c r="E180" t="s">
        <v>62</v>
      </c>
      <c r="F180">
        <v>2052</v>
      </c>
      <c r="H180">
        <f t="shared" si="4"/>
        <v>4</v>
      </c>
      <c r="I180">
        <f t="shared" si="5"/>
        <v>2021</v>
      </c>
    </row>
    <row r="181" spans="1:9" x14ac:dyDescent="0.3">
      <c r="A181" s="1">
        <v>44307</v>
      </c>
      <c r="B181" t="s">
        <v>234</v>
      </c>
      <c r="C181" t="s">
        <v>38</v>
      </c>
      <c r="D181" t="s">
        <v>93</v>
      </c>
      <c r="E181" t="s">
        <v>62</v>
      </c>
      <c r="F181">
        <v>1368</v>
      </c>
      <c r="H181">
        <f t="shared" si="4"/>
        <v>4</v>
      </c>
      <c r="I181">
        <f t="shared" si="5"/>
        <v>2021</v>
      </c>
    </row>
    <row r="182" spans="1:9" x14ac:dyDescent="0.3">
      <c r="A182" s="1">
        <v>44307</v>
      </c>
      <c r="B182" t="s">
        <v>234</v>
      </c>
      <c r="C182" t="s">
        <v>44</v>
      </c>
      <c r="D182" t="s">
        <v>12</v>
      </c>
      <c r="E182" t="s">
        <v>43</v>
      </c>
      <c r="F182">
        <v>780</v>
      </c>
      <c r="H182">
        <f t="shared" si="4"/>
        <v>4</v>
      </c>
      <c r="I182">
        <f t="shared" si="5"/>
        <v>2021</v>
      </c>
    </row>
    <row r="183" spans="1:9" x14ac:dyDescent="0.3">
      <c r="A183" s="1">
        <v>44307</v>
      </c>
      <c r="B183" t="s">
        <v>234</v>
      </c>
      <c r="C183" t="s">
        <v>123</v>
      </c>
      <c r="D183" t="s">
        <v>5</v>
      </c>
      <c r="E183" t="s">
        <v>124</v>
      </c>
      <c r="F183">
        <v>740</v>
      </c>
      <c r="H183">
        <f t="shared" si="4"/>
        <v>4</v>
      </c>
      <c r="I183">
        <f t="shared" si="5"/>
        <v>2021</v>
      </c>
    </row>
    <row r="184" spans="1:9" x14ac:dyDescent="0.3">
      <c r="A184" s="1">
        <v>44307</v>
      </c>
      <c r="B184" t="s">
        <v>234</v>
      </c>
      <c r="C184" t="s">
        <v>125</v>
      </c>
      <c r="D184" t="s">
        <v>5</v>
      </c>
      <c r="E184" t="s">
        <v>120</v>
      </c>
      <c r="F184">
        <v>680</v>
      </c>
      <c r="H184">
        <f t="shared" si="4"/>
        <v>4</v>
      </c>
      <c r="I184">
        <f t="shared" si="5"/>
        <v>2021</v>
      </c>
    </row>
    <row r="185" spans="1:9" x14ac:dyDescent="0.3">
      <c r="A185" s="1">
        <v>44307</v>
      </c>
      <c r="B185" t="s">
        <v>234</v>
      </c>
      <c r="C185" t="s">
        <v>142</v>
      </c>
      <c r="D185" t="s">
        <v>12</v>
      </c>
      <c r="E185" t="s">
        <v>156</v>
      </c>
      <c r="F185">
        <v>1000</v>
      </c>
      <c r="H185">
        <f t="shared" si="4"/>
        <v>4</v>
      </c>
      <c r="I185">
        <f t="shared" si="5"/>
        <v>2021</v>
      </c>
    </row>
    <row r="186" spans="1:9" x14ac:dyDescent="0.3">
      <c r="A186" s="1">
        <v>44307</v>
      </c>
      <c r="B186" t="s">
        <v>234</v>
      </c>
      <c r="C186" t="s">
        <v>101</v>
      </c>
      <c r="D186" t="s">
        <v>12</v>
      </c>
      <c r="E186" t="s">
        <v>265</v>
      </c>
      <c r="F186">
        <v>970</v>
      </c>
      <c r="H186">
        <f t="shared" ref="H186:H246" si="6">MONTH(A186)</f>
        <v>4</v>
      </c>
      <c r="I186">
        <f t="shared" ref="I186:I246" si="7">YEAR(A186)</f>
        <v>2021</v>
      </c>
    </row>
    <row r="187" spans="1:9" x14ac:dyDescent="0.3">
      <c r="A187" s="1">
        <v>44307</v>
      </c>
      <c r="B187" t="s">
        <v>234</v>
      </c>
      <c r="G187">
        <v>1080</v>
      </c>
      <c r="H187">
        <f t="shared" si="6"/>
        <v>4</v>
      </c>
      <c r="I187">
        <f t="shared" si="7"/>
        <v>2021</v>
      </c>
    </row>
    <row r="188" spans="1:9" x14ac:dyDescent="0.3">
      <c r="A188" s="1">
        <v>44307</v>
      </c>
      <c r="B188" t="s">
        <v>234</v>
      </c>
      <c r="C188" t="s">
        <v>231</v>
      </c>
      <c r="D188" t="s">
        <v>5</v>
      </c>
      <c r="E188" t="s">
        <v>99</v>
      </c>
      <c r="F188">
        <v>540</v>
      </c>
      <c r="H188">
        <f t="shared" si="6"/>
        <v>4</v>
      </c>
      <c r="I188">
        <f t="shared" si="7"/>
        <v>2021</v>
      </c>
    </row>
    <row r="189" spans="1:9" x14ac:dyDescent="0.3">
      <c r="A189" s="1">
        <v>44307</v>
      </c>
      <c r="B189" t="s">
        <v>234</v>
      </c>
      <c r="C189" t="s">
        <v>108</v>
      </c>
      <c r="D189" t="s">
        <v>5</v>
      </c>
      <c r="E189" t="s">
        <v>99</v>
      </c>
      <c r="F189">
        <v>540</v>
      </c>
      <c r="H189">
        <f t="shared" si="6"/>
        <v>4</v>
      </c>
      <c r="I189">
        <f t="shared" si="7"/>
        <v>2021</v>
      </c>
    </row>
    <row r="190" spans="1:9" x14ac:dyDescent="0.3">
      <c r="A190" s="1">
        <v>44307</v>
      </c>
      <c r="B190" t="s">
        <v>283</v>
      </c>
      <c r="G190">
        <v>680</v>
      </c>
      <c r="H190">
        <f t="shared" si="6"/>
        <v>4</v>
      </c>
      <c r="I190">
        <f t="shared" si="7"/>
        <v>2021</v>
      </c>
    </row>
    <row r="191" spans="1:9" x14ac:dyDescent="0.3">
      <c r="A191" s="1">
        <v>44307</v>
      </c>
      <c r="B191" t="s">
        <v>283</v>
      </c>
      <c r="C191" t="s">
        <v>125</v>
      </c>
      <c r="D191" t="s">
        <v>5</v>
      </c>
      <c r="E191" t="s">
        <v>120</v>
      </c>
      <c r="F191">
        <v>680</v>
      </c>
      <c r="H191">
        <f t="shared" si="6"/>
        <v>4</v>
      </c>
      <c r="I191">
        <f t="shared" si="7"/>
        <v>2021</v>
      </c>
    </row>
    <row r="192" spans="1:9" x14ac:dyDescent="0.3">
      <c r="A192" s="1">
        <v>44307</v>
      </c>
      <c r="B192" t="s">
        <v>286</v>
      </c>
      <c r="G192">
        <v>1695</v>
      </c>
      <c r="H192">
        <f t="shared" si="6"/>
        <v>4</v>
      </c>
      <c r="I192">
        <f t="shared" si="7"/>
        <v>2021</v>
      </c>
    </row>
    <row r="193" spans="1:9" x14ac:dyDescent="0.3">
      <c r="A193" s="1">
        <v>44307</v>
      </c>
      <c r="B193" t="s">
        <v>286</v>
      </c>
      <c r="C193" t="s">
        <v>40</v>
      </c>
      <c r="D193" t="s">
        <v>12</v>
      </c>
      <c r="E193" t="s">
        <v>117</v>
      </c>
      <c r="F193">
        <v>670</v>
      </c>
      <c r="H193">
        <f t="shared" si="6"/>
        <v>4</v>
      </c>
      <c r="I193">
        <f t="shared" si="7"/>
        <v>2021</v>
      </c>
    </row>
    <row r="194" spans="1:9" x14ac:dyDescent="0.3">
      <c r="A194" s="1">
        <v>44307</v>
      </c>
      <c r="B194" t="s">
        <v>286</v>
      </c>
      <c r="C194" t="s">
        <v>111</v>
      </c>
      <c r="D194" t="s">
        <v>5</v>
      </c>
      <c r="E194" t="s">
        <v>60</v>
      </c>
      <c r="F194">
        <v>325</v>
      </c>
      <c r="H194">
        <f t="shared" si="6"/>
        <v>4</v>
      </c>
      <c r="I194">
        <f t="shared" si="7"/>
        <v>2021</v>
      </c>
    </row>
    <row r="195" spans="1:9" x14ac:dyDescent="0.3">
      <c r="A195" s="1">
        <v>44307</v>
      </c>
      <c r="B195" t="s">
        <v>286</v>
      </c>
      <c r="C195" t="s">
        <v>38</v>
      </c>
      <c r="D195" t="s">
        <v>5</v>
      </c>
      <c r="E195" t="s">
        <v>100</v>
      </c>
      <c r="F195">
        <v>350</v>
      </c>
      <c r="H195">
        <f t="shared" si="6"/>
        <v>4</v>
      </c>
      <c r="I195">
        <f t="shared" si="7"/>
        <v>2021</v>
      </c>
    </row>
    <row r="196" spans="1:9" x14ac:dyDescent="0.3">
      <c r="A196" s="1">
        <v>44307</v>
      </c>
      <c r="B196" t="s">
        <v>286</v>
      </c>
      <c r="C196" t="s">
        <v>11</v>
      </c>
      <c r="D196" t="s">
        <v>5</v>
      </c>
      <c r="E196" t="s">
        <v>100</v>
      </c>
      <c r="F196">
        <v>350</v>
      </c>
      <c r="H196">
        <f t="shared" si="6"/>
        <v>4</v>
      </c>
      <c r="I196">
        <f t="shared" si="7"/>
        <v>2021</v>
      </c>
    </row>
    <row r="197" spans="1:9" x14ac:dyDescent="0.3">
      <c r="A197" s="1">
        <v>44308</v>
      </c>
      <c r="B197" t="s">
        <v>45</v>
      </c>
      <c r="G197">
        <v>17820</v>
      </c>
      <c r="H197">
        <f t="shared" si="6"/>
        <v>4</v>
      </c>
      <c r="I197">
        <f t="shared" si="7"/>
        <v>2021</v>
      </c>
    </row>
    <row r="198" spans="1:9" x14ac:dyDescent="0.3">
      <c r="A198" s="1">
        <v>44308</v>
      </c>
      <c r="B198" t="s">
        <v>45</v>
      </c>
      <c r="C198" t="s">
        <v>38</v>
      </c>
      <c r="D198" t="s">
        <v>9</v>
      </c>
      <c r="E198" t="s">
        <v>62</v>
      </c>
      <c r="F198">
        <v>6840</v>
      </c>
      <c r="H198">
        <f t="shared" si="6"/>
        <v>4</v>
      </c>
      <c r="I198">
        <f t="shared" si="7"/>
        <v>2021</v>
      </c>
    </row>
    <row r="199" spans="1:9" x14ac:dyDescent="0.3">
      <c r="A199" s="1">
        <v>44308</v>
      </c>
      <c r="B199" t="s">
        <v>45</v>
      </c>
      <c r="C199" t="s">
        <v>11</v>
      </c>
      <c r="D199" t="s">
        <v>61</v>
      </c>
      <c r="E199" t="s">
        <v>62</v>
      </c>
      <c r="F199">
        <v>5130</v>
      </c>
      <c r="H199">
        <f t="shared" si="6"/>
        <v>4</v>
      </c>
      <c r="I199">
        <f t="shared" si="7"/>
        <v>2021</v>
      </c>
    </row>
    <row r="200" spans="1:9" x14ac:dyDescent="0.3">
      <c r="A200" s="1">
        <v>44308</v>
      </c>
      <c r="B200" t="s">
        <v>45</v>
      </c>
      <c r="C200" t="s">
        <v>125</v>
      </c>
      <c r="D200" t="s">
        <v>25</v>
      </c>
      <c r="E200" t="s">
        <v>120</v>
      </c>
      <c r="F200">
        <v>3400</v>
      </c>
      <c r="H200">
        <f t="shared" si="6"/>
        <v>4</v>
      </c>
      <c r="I200">
        <f t="shared" si="7"/>
        <v>2021</v>
      </c>
    </row>
    <row r="201" spans="1:9" x14ac:dyDescent="0.3">
      <c r="A201" s="1">
        <v>44308</v>
      </c>
      <c r="B201" t="s">
        <v>45</v>
      </c>
      <c r="C201" t="s">
        <v>101</v>
      </c>
      <c r="D201" t="s">
        <v>25</v>
      </c>
      <c r="E201" t="s">
        <v>202</v>
      </c>
      <c r="F201">
        <v>2450</v>
      </c>
      <c r="H201">
        <f t="shared" si="6"/>
        <v>4</v>
      </c>
      <c r="I201">
        <f t="shared" si="7"/>
        <v>2021</v>
      </c>
    </row>
    <row r="202" spans="1:9" x14ac:dyDescent="0.3">
      <c r="A202" s="1">
        <v>44308</v>
      </c>
      <c r="B202" t="s">
        <v>8</v>
      </c>
      <c r="G202">
        <v>6770</v>
      </c>
      <c r="H202">
        <f t="shared" si="6"/>
        <v>4</v>
      </c>
      <c r="I202">
        <f t="shared" si="7"/>
        <v>2021</v>
      </c>
    </row>
    <row r="203" spans="1:9" x14ac:dyDescent="0.3">
      <c r="A203" s="1">
        <v>44308</v>
      </c>
      <c r="B203" t="s">
        <v>8</v>
      </c>
      <c r="C203" t="s">
        <v>194</v>
      </c>
      <c r="D203">
        <v>103</v>
      </c>
      <c r="F203">
        <v>6770</v>
      </c>
      <c r="H203">
        <f t="shared" si="6"/>
        <v>4</v>
      </c>
      <c r="I203">
        <f t="shared" si="7"/>
        <v>2021</v>
      </c>
    </row>
    <row r="204" spans="1:9" x14ac:dyDescent="0.3">
      <c r="A204" s="1">
        <v>44308</v>
      </c>
      <c r="B204" t="s">
        <v>8</v>
      </c>
      <c r="C204" t="s">
        <v>40</v>
      </c>
      <c r="D204" t="s">
        <v>37</v>
      </c>
      <c r="E204" t="s">
        <v>284</v>
      </c>
      <c r="F204">
        <v>3320</v>
      </c>
      <c r="H204">
        <f t="shared" si="6"/>
        <v>4</v>
      </c>
      <c r="I204">
        <f t="shared" si="7"/>
        <v>2021</v>
      </c>
    </row>
    <row r="205" spans="1:9" x14ac:dyDescent="0.3">
      <c r="A205" s="1">
        <v>44308</v>
      </c>
      <c r="B205" t="s">
        <v>8</v>
      </c>
      <c r="C205" t="s">
        <v>38</v>
      </c>
      <c r="D205" t="s">
        <v>25</v>
      </c>
      <c r="E205" t="s">
        <v>13</v>
      </c>
      <c r="F205">
        <v>1725</v>
      </c>
      <c r="H205">
        <f t="shared" si="6"/>
        <v>4</v>
      </c>
      <c r="I205">
        <f t="shared" si="7"/>
        <v>2021</v>
      </c>
    </row>
    <row r="206" spans="1:9" x14ac:dyDescent="0.3">
      <c r="A206" s="1">
        <v>44308</v>
      </c>
      <c r="B206" t="s">
        <v>8</v>
      </c>
      <c r="C206" t="s">
        <v>11</v>
      </c>
      <c r="D206" t="s">
        <v>25</v>
      </c>
      <c r="E206" t="s">
        <v>13</v>
      </c>
      <c r="F206">
        <v>1725</v>
      </c>
      <c r="H206">
        <f t="shared" si="6"/>
        <v>4</v>
      </c>
      <c r="I206">
        <f t="shared" si="7"/>
        <v>2021</v>
      </c>
    </row>
    <row r="207" spans="1:9" x14ac:dyDescent="0.3">
      <c r="A207" s="1">
        <v>44309</v>
      </c>
      <c r="B207" t="s">
        <v>234</v>
      </c>
      <c r="G207">
        <v>9624</v>
      </c>
      <c r="H207">
        <f t="shared" si="6"/>
        <v>4</v>
      </c>
      <c r="I207">
        <f t="shared" si="7"/>
        <v>2021</v>
      </c>
    </row>
    <row r="208" spans="1:9" x14ac:dyDescent="0.3">
      <c r="A208" s="1">
        <v>44309</v>
      </c>
      <c r="B208" t="s">
        <v>234</v>
      </c>
      <c r="C208" t="s">
        <v>94</v>
      </c>
      <c r="D208" t="s">
        <v>244</v>
      </c>
      <c r="E208" t="s">
        <v>186</v>
      </c>
      <c r="F208">
        <v>5700</v>
      </c>
      <c r="H208">
        <f t="shared" si="6"/>
        <v>4</v>
      </c>
      <c r="I208">
        <f t="shared" si="7"/>
        <v>2021</v>
      </c>
    </row>
    <row r="209" spans="1:9" x14ac:dyDescent="0.3">
      <c r="A209" s="1">
        <v>44309</v>
      </c>
      <c r="B209" t="s">
        <v>234</v>
      </c>
      <c r="C209" t="s">
        <v>11</v>
      </c>
      <c r="D209" t="s">
        <v>93</v>
      </c>
      <c r="E209" t="s">
        <v>62</v>
      </c>
      <c r="F209">
        <v>1368</v>
      </c>
      <c r="H209">
        <f t="shared" si="6"/>
        <v>4</v>
      </c>
      <c r="I209">
        <f t="shared" si="7"/>
        <v>2021</v>
      </c>
    </row>
    <row r="210" spans="1:9" x14ac:dyDescent="0.3">
      <c r="A210" s="1">
        <v>44309</v>
      </c>
      <c r="B210" t="s">
        <v>234</v>
      </c>
      <c r="C210" t="s">
        <v>38</v>
      </c>
      <c r="D210" t="s">
        <v>23</v>
      </c>
      <c r="E210" t="s">
        <v>62</v>
      </c>
      <c r="F210">
        <v>1026</v>
      </c>
      <c r="H210">
        <f t="shared" si="6"/>
        <v>4</v>
      </c>
      <c r="I210">
        <f t="shared" si="7"/>
        <v>2021</v>
      </c>
    </row>
    <row r="211" spans="1:9" x14ac:dyDescent="0.3">
      <c r="A211" s="1">
        <v>44309</v>
      </c>
      <c r="B211" t="s">
        <v>234</v>
      </c>
      <c r="C211" t="s">
        <v>101</v>
      </c>
      <c r="D211" t="s">
        <v>5</v>
      </c>
      <c r="E211" t="s">
        <v>102</v>
      </c>
      <c r="F211">
        <v>480</v>
      </c>
      <c r="H211">
        <f t="shared" si="6"/>
        <v>4</v>
      </c>
      <c r="I211">
        <f t="shared" si="7"/>
        <v>2021</v>
      </c>
    </row>
    <row r="212" spans="1:9" x14ac:dyDescent="0.3">
      <c r="A212" s="1">
        <v>44309</v>
      </c>
      <c r="B212" t="s">
        <v>234</v>
      </c>
      <c r="C212" t="s">
        <v>98</v>
      </c>
      <c r="D212" t="s">
        <v>12</v>
      </c>
      <c r="E212" t="s">
        <v>6</v>
      </c>
      <c r="F212">
        <v>1050</v>
      </c>
      <c r="H212">
        <f t="shared" si="6"/>
        <v>4</v>
      </c>
      <c r="I212">
        <f t="shared" si="7"/>
        <v>2021</v>
      </c>
    </row>
    <row r="213" spans="1:9" x14ac:dyDescent="0.3">
      <c r="A213" s="1">
        <v>44309</v>
      </c>
      <c r="B213" t="s">
        <v>97</v>
      </c>
      <c r="G213">
        <v>15685</v>
      </c>
      <c r="H213">
        <f t="shared" si="6"/>
        <v>4</v>
      </c>
      <c r="I213">
        <f t="shared" si="7"/>
        <v>2021</v>
      </c>
    </row>
    <row r="214" spans="1:9" x14ac:dyDescent="0.3">
      <c r="A214" s="1">
        <v>44309</v>
      </c>
      <c r="B214" t="s">
        <v>97</v>
      </c>
      <c r="C214" t="s">
        <v>94</v>
      </c>
      <c r="D214" t="s">
        <v>244</v>
      </c>
      <c r="E214" t="s">
        <v>263</v>
      </c>
      <c r="F214">
        <v>5850</v>
      </c>
      <c r="H214">
        <f t="shared" si="6"/>
        <v>4</v>
      </c>
      <c r="I214">
        <f t="shared" si="7"/>
        <v>2021</v>
      </c>
    </row>
    <row r="215" spans="1:9" x14ac:dyDescent="0.3">
      <c r="A215" s="1">
        <v>44309</v>
      </c>
      <c r="B215" t="s">
        <v>97</v>
      </c>
      <c r="C215" t="s">
        <v>40</v>
      </c>
      <c r="D215" t="s">
        <v>37</v>
      </c>
      <c r="E215" t="s">
        <v>117</v>
      </c>
      <c r="F215">
        <v>3350</v>
      </c>
      <c r="H215">
        <f t="shared" si="6"/>
        <v>4</v>
      </c>
      <c r="I215">
        <f t="shared" si="7"/>
        <v>2021</v>
      </c>
    </row>
    <row r="216" spans="1:9" x14ac:dyDescent="0.3">
      <c r="A216" s="1">
        <v>44309</v>
      </c>
      <c r="B216" t="s">
        <v>97</v>
      </c>
      <c r="C216" t="s">
        <v>98</v>
      </c>
      <c r="D216" t="s">
        <v>25</v>
      </c>
      <c r="E216" t="s">
        <v>99</v>
      </c>
      <c r="F216">
        <v>2700</v>
      </c>
      <c r="H216">
        <f t="shared" si="6"/>
        <v>4</v>
      </c>
      <c r="I216">
        <f t="shared" si="7"/>
        <v>2021</v>
      </c>
    </row>
    <row r="217" spans="1:9" x14ac:dyDescent="0.3">
      <c r="A217" s="1">
        <v>44309</v>
      </c>
      <c r="B217" t="s">
        <v>97</v>
      </c>
      <c r="C217" t="s">
        <v>11</v>
      </c>
      <c r="D217" t="s">
        <v>18</v>
      </c>
      <c r="E217" t="s">
        <v>100</v>
      </c>
      <c r="F217">
        <v>2100</v>
      </c>
      <c r="H217">
        <f t="shared" si="6"/>
        <v>4</v>
      </c>
      <c r="I217">
        <f t="shared" si="7"/>
        <v>2021</v>
      </c>
    </row>
    <row r="218" spans="1:9" x14ac:dyDescent="0.3">
      <c r="A218" s="1">
        <v>44309</v>
      </c>
      <c r="B218" t="s">
        <v>97</v>
      </c>
      <c r="C218" t="s">
        <v>285</v>
      </c>
      <c r="D218" t="s">
        <v>12</v>
      </c>
      <c r="E218" t="s">
        <v>31</v>
      </c>
      <c r="F218">
        <v>1040</v>
      </c>
      <c r="H218">
        <f t="shared" si="6"/>
        <v>4</v>
      </c>
      <c r="I218">
        <f t="shared" si="7"/>
        <v>2021</v>
      </c>
    </row>
    <row r="219" spans="1:9" x14ac:dyDescent="0.3">
      <c r="A219" s="1">
        <v>44309</v>
      </c>
      <c r="B219" t="s">
        <v>97</v>
      </c>
      <c r="C219" t="s">
        <v>228</v>
      </c>
      <c r="D219" t="s">
        <v>5</v>
      </c>
      <c r="E219" t="s">
        <v>229</v>
      </c>
      <c r="F219">
        <v>645</v>
      </c>
      <c r="H219">
        <f t="shared" si="6"/>
        <v>4</v>
      </c>
      <c r="I219">
        <f t="shared" si="7"/>
        <v>2021</v>
      </c>
    </row>
    <row r="220" spans="1:9" x14ac:dyDescent="0.3">
      <c r="A220" s="1">
        <v>44309</v>
      </c>
      <c r="B220" t="s">
        <v>55</v>
      </c>
      <c r="G220">
        <v>5130</v>
      </c>
      <c r="H220">
        <f t="shared" si="6"/>
        <v>4</v>
      </c>
      <c r="I220">
        <f t="shared" si="7"/>
        <v>2021</v>
      </c>
    </row>
    <row r="221" spans="1:9" x14ac:dyDescent="0.3">
      <c r="A221" s="1">
        <v>44309</v>
      </c>
      <c r="B221" t="s">
        <v>55</v>
      </c>
      <c r="C221" t="s">
        <v>38</v>
      </c>
      <c r="D221" t="s">
        <v>16</v>
      </c>
      <c r="E221" t="s">
        <v>62</v>
      </c>
      <c r="F221">
        <v>4104</v>
      </c>
      <c r="H221">
        <f t="shared" si="6"/>
        <v>4</v>
      </c>
      <c r="I221">
        <f t="shared" si="7"/>
        <v>2021</v>
      </c>
    </row>
    <row r="222" spans="1:9" x14ac:dyDescent="0.3">
      <c r="A222" s="1">
        <v>44309</v>
      </c>
      <c r="B222" t="s">
        <v>55</v>
      </c>
      <c r="C222" t="s">
        <v>11</v>
      </c>
      <c r="D222" t="s">
        <v>23</v>
      </c>
      <c r="E222" t="s">
        <v>62</v>
      </c>
      <c r="F222">
        <v>1026</v>
      </c>
      <c r="H222">
        <f t="shared" si="6"/>
        <v>4</v>
      </c>
      <c r="I222">
        <f t="shared" si="7"/>
        <v>2021</v>
      </c>
    </row>
    <row r="223" spans="1:9" x14ac:dyDescent="0.3">
      <c r="A223" s="1">
        <v>44309</v>
      </c>
      <c r="B223" t="s">
        <v>82</v>
      </c>
      <c r="G223">
        <v>4950</v>
      </c>
      <c r="H223">
        <f t="shared" si="6"/>
        <v>4</v>
      </c>
      <c r="I223">
        <f t="shared" si="7"/>
        <v>2021</v>
      </c>
    </row>
    <row r="224" spans="1:9" x14ac:dyDescent="0.3">
      <c r="A224" s="1">
        <v>44309</v>
      </c>
      <c r="B224" t="s">
        <v>82</v>
      </c>
      <c r="C224" t="s">
        <v>40</v>
      </c>
      <c r="D224" t="s">
        <v>61</v>
      </c>
      <c r="E224" t="s">
        <v>104</v>
      </c>
      <c r="F224">
        <v>4950</v>
      </c>
      <c r="H224">
        <f t="shared" si="6"/>
        <v>4</v>
      </c>
      <c r="I224">
        <f t="shared" si="7"/>
        <v>2021</v>
      </c>
    </row>
    <row r="225" spans="1:9" x14ac:dyDescent="0.3">
      <c r="A225" s="1">
        <v>44309</v>
      </c>
      <c r="B225" t="s">
        <v>130</v>
      </c>
      <c r="G225">
        <v>5150</v>
      </c>
      <c r="H225">
        <f t="shared" si="6"/>
        <v>4</v>
      </c>
      <c r="I225">
        <f t="shared" si="7"/>
        <v>2021</v>
      </c>
    </row>
    <row r="226" spans="1:9" x14ac:dyDescent="0.3">
      <c r="A226" s="1">
        <v>44309</v>
      </c>
      <c r="B226" t="s">
        <v>130</v>
      </c>
      <c r="C226" t="s">
        <v>148</v>
      </c>
      <c r="D226" t="s">
        <v>37</v>
      </c>
      <c r="E226" t="s">
        <v>149</v>
      </c>
      <c r="F226">
        <v>1850</v>
      </c>
      <c r="H226">
        <f t="shared" si="6"/>
        <v>4</v>
      </c>
      <c r="I226">
        <f t="shared" si="7"/>
        <v>2021</v>
      </c>
    </row>
    <row r="227" spans="1:9" x14ac:dyDescent="0.3">
      <c r="A227" s="1">
        <v>44309</v>
      </c>
      <c r="B227" t="s">
        <v>130</v>
      </c>
      <c r="C227" t="s">
        <v>40</v>
      </c>
      <c r="D227" t="s">
        <v>37</v>
      </c>
      <c r="E227" t="s">
        <v>104</v>
      </c>
      <c r="F227">
        <v>3300</v>
      </c>
      <c r="H227">
        <f t="shared" si="6"/>
        <v>4</v>
      </c>
      <c r="I227">
        <f t="shared" si="7"/>
        <v>2021</v>
      </c>
    </row>
    <row r="228" spans="1:9" x14ac:dyDescent="0.3">
      <c r="A228" s="1">
        <v>44309</v>
      </c>
      <c r="B228" t="s">
        <v>3</v>
      </c>
      <c r="G228">
        <v>5700</v>
      </c>
      <c r="H228">
        <f t="shared" si="6"/>
        <v>4</v>
      </c>
      <c r="I228">
        <f t="shared" si="7"/>
        <v>2021</v>
      </c>
    </row>
    <row r="229" spans="1:9" x14ac:dyDescent="0.3">
      <c r="A229" s="1">
        <v>44309</v>
      </c>
      <c r="B229" t="s">
        <v>3</v>
      </c>
      <c r="C229" t="s">
        <v>94</v>
      </c>
      <c r="D229" t="s">
        <v>244</v>
      </c>
      <c r="E229" t="s">
        <v>186</v>
      </c>
      <c r="F229">
        <v>5700</v>
      </c>
      <c r="H229">
        <f t="shared" si="6"/>
        <v>4</v>
      </c>
      <c r="I229">
        <f t="shared" si="7"/>
        <v>2021</v>
      </c>
    </row>
    <row r="230" spans="1:9" x14ac:dyDescent="0.3">
      <c r="A230" s="1">
        <v>44312</v>
      </c>
      <c r="B230" t="s">
        <v>3</v>
      </c>
      <c r="G230">
        <v>1700</v>
      </c>
      <c r="H230">
        <f t="shared" si="6"/>
        <v>4</v>
      </c>
      <c r="I230">
        <f t="shared" si="7"/>
        <v>2021</v>
      </c>
    </row>
    <row r="231" spans="1:9" x14ac:dyDescent="0.3">
      <c r="A231" s="1">
        <v>44312</v>
      </c>
      <c r="B231" t="s">
        <v>3</v>
      </c>
      <c r="C231" t="s">
        <v>231</v>
      </c>
      <c r="D231" t="s">
        <v>12</v>
      </c>
      <c r="E231" t="s">
        <v>99</v>
      </c>
      <c r="F231">
        <v>1080</v>
      </c>
      <c r="H231">
        <f t="shared" si="6"/>
        <v>4</v>
      </c>
      <c r="I231">
        <f t="shared" si="7"/>
        <v>2021</v>
      </c>
    </row>
    <row r="232" spans="1:9" x14ac:dyDescent="0.3">
      <c r="A232" s="1">
        <v>44312</v>
      </c>
      <c r="B232" t="s">
        <v>3</v>
      </c>
      <c r="C232" t="s">
        <v>38</v>
      </c>
      <c r="D232" t="s">
        <v>5</v>
      </c>
      <c r="E232" t="s">
        <v>100</v>
      </c>
      <c r="F232">
        <v>350</v>
      </c>
      <c r="H232">
        <f t="shared" si="6"/>
        <v>4</v>
      </c>
      <c r="I232">
        <f t="shared" si="7"/>
        <v>2021</v>
      </c>
    </row>
    <row r="233" spans="1:9" x14ac:dyDescent="0.3">
      <c r="A233" s="1">
        <v>44312</v>
      </c>
      <c r="B233" t="s">
        <v>3</v>
      </c>
      <c r="C233" t="s">
        <v>4</v>
      </c>
      <c r="D233" t="s">
        <v>5</v>
      </c>
      <c r="E233" t="s">
        <v>6</v>
      </c>
      <c r="F233">
        <v>525</v>
      </c>
      <c r="H233">
        <f t="shared" si="6"/>
        <v>4</v>
      </c>
      <c r="I233">
        <f t="shared" si="7"/>
        <v>2021</v>
      </c>
    </row>
    <row r="234" spans="1:9" x14ac:dyDescent="0.3">
      <c r="A234" s="1">
        <v>44312</v>
      </c>
      <c r="B234" t="s">
        <v>162</v>
      </c>
      <c r="G234">
        <v>-255</v>
      </c>
      <c r="H234">
        <f t="shared" si="6"/>
        <v>4</v>
      </c>
      <c r="I234">
        <f t="shared" si="7"/>
        <v>2021</v>
      </c>
    </row>
    <row r="235" spans="1:9" x14ac:dyDescent="0.3">
      <c r="A235" s="1">
        <v>44312</v>
      </c>
      <c r="B235" t="s">
        <v>88</v>
      </c>
      <c r="G235">
        <v>185</v>
      </c>
      <c r="H235">
        <f t="shared" si="6"/>
        <v>4</v>
      </c>
      <c r="I235">
        <f t="shared" si="7"/>
        <v>2021</v>
      </c>
    </row>
    <row r="236" spans="1:9" x14ac:dyDescent="0.3">
      <c r="A236" s="1">
        <v>44312</v>
      </c>
      <c r="B236" t="s">
        <v>88</v>
      </c>
      <c r="C236" t="s">
        <v>148</v>
      </c>
      <c r="D236" t="s">
        <v>5</v>
      </c>
      <c r="E236" t="s">
        <v>149</v>
      </c>
      <c r="F236">
        <v>185</v>
      </c>
      <c r="H236">
        <f t="shared" si="6"/>
        <v>4</v>
      </c>
      <c r="I236">
        <f t="shared" si="7"/>
        <v>2021</v>
      </c>
    </row>
    <row r="237" spans="1:9" x14ac:dyDescent="0.3">
      <c r="A237" s="1">
        <v>44312</v>
      </c>
      <c r="B237" t="s">
        <v>8</v>
      </c>
      <c r="G237">
        <v>13345</v>
      </c>
      <c r="H237">
        <f t="shared" si="6"/>
        <v>4</v>
      </c>
      <c r="I237">
        <f t="shared" si="7"/>
        <v>2021</v>
      </c>
    </row>
    <row r="238" spans="1:9" x14ac:dyDescent="0.3">
      <c r="A238" s="1">
        <v>44312</v>
      </c>
      <c r="B238" t="s">
        <v>8</v>
      </c>
      <c r="C238" t="s">
        <v>40</v>
      </c>
      <c r="D238" t="s">
        <v>287</v>
      </c>
      <c r="E238" t="s">
        <v>284</v>
      </c>
      <c r="F238">
        <v>11620</v>
      </c>
      <c r="H238">
        <f t="shared" si="6"/>
        <v>4</v>
      </c>
      <c r="I238">
        <f t="shared" si="7"/>
        <v>2021</v>
      </c>
    </row>
    <row r="239" spans="1:9" x14ac:dyDescent="0.3">
      <c r="A239" s="1">
        <v>44312</v>
      </c>
      <c r="B239" t="s">
        <v>8</v>
      </c>
      <c r="C239" t="s">
        <v>11</v>
      </c>
      <c r="D239" t="s">
        <v>25</v>
      </c>
      <c r="E239" t="s">
        <v>13</v>
      </c>
      <c r="F239">
        <v>1725</v>
      </c>
      <c r="H239">
        <f t="shared" si="6"/>
        <v>4</v>
      </c>
      <c r="I239">
        <f t="shared" si="7"/>
        <v>2021</v>
      </c>
    </row>
    <row r="240" spans="1:9" x14ac:dyDescent="0.3">
      <c r="A240" s="1">
        <v>44312</v>
      </c>
      <c r="B240" t="s">
        <v>85</v>
      </c>
      <c r="G240">
        <v>1320</v>
      </c>
      <c r="H240">
        <f t="shared" si="6"/>
        <v>4</v>
      </c>
      <c r="I240">
        <f t="shared" si="7"/>
        <v>2021</v>
      </c>
    </row>
    <row r="241" spans="1:9" x14ac:dyDescent="0.3">
      <c r="A241" s="1">
        <v>44312</v>
      </c>
      <c r="B241" t="s">
        <v>85</v>
      </c>
      <c r="C241" t="s">
        <v>213</v>
      </c>
      <c r="D241" t="s">
        <v>18</v>
      </c>
      <c r="E241" t="s">
        <v>258</v>
      </c>
      <c r="F241">
        <v>1320</v>
      </c>
      <c r="H241">
        <f t="shared" si="6"/>
        <v>4</v>
      </c>
      <c r="I241">
        <f t="shared" si="7"/>
        <v>2021</v>
      </c>
    </row>
    <row r="242" spans="1:9" x14ac:dyDescent="0.3">
      <c r="A242" s="1">
        <v>44314</v>
      </c>
      <c r="B242" t="s">
        <v>3</v>
      </c>
      <c r="G242">
        <v>750</v>
      </c>
      <c r="H242">
        <f t="shared" si="6"/>
        <v>4</v>
      </c>
      <c r="I242">
        <f t="shared" si="7"/>
        <v>2021</v>
      </c>
    </row>
    <row r="243" spans="1:9" x14ac:dyDescent="0.3">
      <c r="A243" s="1">
        <v>44314</v>
      </c>
      <c r="B243" t="s">
        <v>3</v>
      </c>
      <c r="C243" t="s">
        <v>38</v>
      </c>
      <c r="D243" t="s">
        <v>5</v>
      </c>
      <c r="E243" t="s">
        <v>100</v>
      </c>
      <c r="F243">
        <v>350</v>
      </c>
      <c r="H243">
        <f t="shared" si="6"/>
        <v>4</v>
      </c>
      <c r="I243">
        <f t="shared" si="7"/>
        <v>2021</v>
      </c>
    </row>
    <row r="244" spans="1:9" x14ac:dyDescent="0.3">
      <c r="A244" s="1">
        <v>44314</v>
      </c>
      <c r="B244" t="s">
        <v>3</v>
      </c>
      <c r="C244" t="s">
        <v>44</v>
      </c>
      <c r="D244" t="s">
        <v>5</v>
      </c>
      <c r="E244" t="s">
        <v>103</v>
      </c>
      <c r="F244">
        <v>400</v>
      </c>
      <c r="H244">
        <f t="shared" si="6"/>
        <v>4</v>
      </c>
      <c r="I244">
        <f t="shared" si="7"/>
        <v>2021</v>
      </c>
    </row>
    <row r="245" spans="1:9" x14ac:dyDescent="0.3">
      <c r="A245" s="1">
        <v>44314</v>
      </c>
      <c r="B245" t="s">
        <v>82</v>
      </c>
      <c r="G245">
        <v>10050</v>
      </c>
      <c r="H245">
        <f t="shared" si="6"/>
        <v>4</v>
      </c>
      <c r="I245">
        <f t="shared" si="7"/>
        <v>2021</v>
      </c>
    </row>
    <row r="246" spans="1:9" x14ac:dyDescent="0.3">
      <c r="A246" s="1">
        <v>44314</v>
      </c>
      <c r="B246" t="s">
        <v>82</v>
      </c>
      <c r="C246" t="s">
        <v>40</v>
      </c>
      <c r="D246" t="s">
        <v>9</v>
      </c>
      <c r="E246" t="s">
        <v>104</v>
      </c>
      <c r="F246">
        <v>6600</v>
      </c>
      <c r="H246">
        <f t="shared" si="6"/>
        <v>4</v>
      </c>
      <c r="I246">
        <f t="shared" si="7"/>
        <v>2021</v>
      </c>
    </row>
    <row r="247" spans="1:9" x14ac:dyDescent="0.3">
      <c r="A247" s="1">
        <v>44314</v>
      </c>
      <c r="B247" t="s">
        <v>82</v>
      </c>
      <c r="C247" t="s">
        <v>38</v>
      </c>
      <c r="D247" t="s">
        <v>25</v>
      </c>
      <c r="E247" t="s">
        <v>13</v>
      </c>
      <c r="F247">
        <v>1725</v>
      </c>
      <c r="H247">
        <f t="shared" ref="H247:H310" si="8">MONTH(A247)</f>
        <v>4</v>
      </c>
      <c r="I247">
        <f t="shared" ref="I247:I310" si="9">YEAR(A247)</f>
        <v>2021</v>
      </c>
    </row>
    <row r="248" spans="1:9" x14ac:dyDescent="0.3">
      <c r="A248" s="1">
        <v>44314</v>
      </c>
      <c r="B248" t="s">
        <v>82</v>
      </c>
      <c r="C248" t="s">
        <v>11</v>
      </c>
      <c r="D248" t="s">
        <v>25</v>
      </c>
      <c r="E248" t="s">
        <v>13</v>
      </c>
      <c r="F248">
        <v>1725</v>
      </c>
      <c r="H248">
        <f t="shared" si="8"/>
        <v>4</v>
      </c>
      <c r="I248">
        <f t="shared" si="9"/>
        <v>2021</v>
      </c>
    </row>
    <row r="249" spans="1:9" x14ac:dyDescent="0.3">
      <c r="A249" s="1">
        <v>44314</v>
      </c>
      <c r="B249" t="s">
        <v>28</v>
      </c>
      <c r="G249">
        <v>950</v>
      </c>
      <c r="H249">
        <f t="shared" si="8"/>
        <v>4</v>
      </c>
      <c r="I249">
        <f t="shared" si="9"/>
        <v>2021</v>
      </c>
    </row>
    <row r="250" spans="1:9" x14ac:dyDescent="0.3">
      <c r="A250" s="1">
        <v>44314</v>
      </c>
      <c r="B250" t="s">
        <v>28</v>
      </c>
      <c r="C250" t="s">
        <v>94</v>
      </c>
      <c r="D250" t="s">
        <v>174</v>
      </c>
      <c r="E250" t="s">
        <v>186</v>
      </c>
      <c r="F250">
        <v>950</v>
      </c>
      <c r="H250">
        <f t="shared" si="8"/>
        <v>4</v>
      </c>
      <c r="I250">
        <f t="shared" si="9"/>
        <v>2021</v>
      </c>
    </row>
    <row r="251" spans="1:9" x14ac:dyDescent="0.3">
      <c r="A251" s="1">
        <v>44314</v>
      </c>
      <c r="B251" t="s">
        <v>8</v>
      </c>
      <c r="G251">
        <v>16600</v>
      </c>
      <c r="H251">
        <f t="shared" si="8"/>
        <v>4</v>
      </c>
      <c r="I251">
        <f t="shared" si="9"/>
        <v>2021</v>
      </c>
    </row>
    <row r="252" spans="1:9" x14ac:dyDescent="0.3">
      <c r="A252" s="1">
        <v>44314</v>
      </c>
      <c r="B252" t="s">
        <v>8</v>
      </c>
      <c r="C252" t="s">
        <v>194</v>
      </c>
      <c r="D252">
        <v>117</v>
      </c>
      <c r="F252">
        <v>16600</v>
      </c>
      <c r="H252">
        <f t="shared" si="8"/>
        <v>4</v>
      </c>
      <c r="I252">
        <f t="shared" si="9"/>
        <v>2021</v>
      </c>
    </row>
    <row r="253" spans="1:9" x14ac:dyDescent="0.3">
      <c r="A253" s="1">
        <v>44314</v>
      </c>
      <c r="B253" t="s">
        <v>8</v>
      </c>
      <c r="C253" t="s">
        <v>40</v>
      </c>
      <c r="D253" t="s">
        <v>52</v>
      </c>
      <c r="E253" t="s">
        <v>284</v>
      </c>
      <c r="F253">
        <v>16600</v>
      </c>
      <c r="H253">
        <f t="shared" si="8"/>
        <v>4</v>
      </c>
      <c r="I253">
        <f t="shared" si="9"/>
        <v>2021</v>
      </c>
    </row>
    <row r="254" spans="1:9" x14ac:dyDescent="0.3">
      <c r="A254" s="1">
        <v>44315</v>
      </c>
      <c r="B254" t="s">
        <v>234</v>
      </c>
      <c r="G254">
        <v>22845</v>
      </c>
      <c r="H254">
        <f t="shared" si="8"/>
        <v>4</v>
      </c>
      <c r="I254">
        <f t="shared" si="9"/>
        <v>2021</v>
      </c>
    </row>
    <row r="255" spans="1:9" x14ac:dyDescent="0.3">
      <c r="A255" s="1">
        <v>44315</v>
      </c>
      <c r="B255" t="s">
        <v>234</v>
      </c>
      <c r="C255" t="s">
        <v>123</v>
      </c>
      <c r="D255" t="s">
        <v>12</v>
      </c>
      <c r="E255" t="s">
        <v>124</v>
      </c>
      <c r="F255">
        <v>1480</v>
      </c>
      <c r="H255">
        <f t="shared" si="8"/>
        <v>4</v>
      </c>
      <c r="I255">
        <f t="shared" si="9"/>
        <v>2021</v>
      </c>
    </row>
    <row r="256" spans="1:9" x14ac:dyDescent="0.3">
      <c r="A256" s="1">
        <v>44315</v>
      </c>
      <c r="B256" t="s">
        <v>234</v>
      </c>
      <c r="C256" t="s">
        <v>142</v>
      </c>
      <c r="D256" t="s">
        <v>12</v>
      </c>
      <c r="E256" t="s">
        <v>156</v>
      </c>
      <c r="F256">
        <v>1000</v>
      </c>
      <c r="H256">
        <f t="shared" si="8"/>
        <v>4</v>
      </c>
      <c r="I256">
        <f t="shared" si="9"/>
        <v>2021</v>
      </c>
    </row>
    <row r="257" spans="1:9" x14ac:dyDescent="0.3">
      <c r="A257" s="1">
        <v>44315</v>
      </c>
      <c r="B257" t="s">
        <v>234</v>
      </c>
      <c r="C257" t="s">
        <v>125</v>
      </c>
      <c r="D257" t="s">
        <v>12</v>
      </c>
      <c r="E257" t="s">
        <v>120</v>
      </c>
      <c r="F257">
        <v>1360</v>
      </c>
      <c r="H257">
        <f t="shared" si="8"/>
        <v>4</v>
      </c>
      <c r="I257">
        <f t="shared" si="9"/>
        <v>2021</v>
      </c>
    </row>
    <row r="258" spans="1:9" x14ac:dyDescent="0.3">
      <c r="A258" s="1">
        <v>44315</v>
      </c>
      <c r="B258" t="s">
        <v>234</v>
      </c>
      <c r="C258" t="s">
        <v>101</v>
      </c>
      <c r="D258" t="s">
        <v>12</v>
      </c>
      <c r="E258" t="s">
        <v>202</v>
      </c>
      <c r="F258">
        <v>980</v>
      </c>
      <c r="H258">
        <f t="shared" si="8"/>
        <v>4</v>
      </c>
      <c r="I258">
        <f t="shared" si="9"/>
        <v>2021</v>
      </c>
    </row>
    <row r="259" spans="1:9" x14ac:dyDescent="0.3">
      <c r="A259" s="1">
        <v>44315</v>
      </c>
      <c r="B259" t="s">
        <v>234</v>
      </c>
      <c r="C259" t="s">
        <v>40</v>
      </c>
      <c r="D259" t="s">
        <v>37</v>
      </c>
      <c r="E259" t="s">
        <v>104</v>
      </c>
      <c r="F259">
        <v>3300</v>
      </c>
      <c r="H259">
        <f t="shared" si="8"/>
        <v>4</v>
      </c>
      <c r="I259">
        <f t="shared" si="9"/>
        <v>2021</v>
      </c>
    </row>
    <row r="260" spans="1:9" x14ac:dyDescent="0.3">
      <c r="A260" s="1">
        <v>44315</v>
      </c>
      <c r="B260" t="s">
        <v>234</v>
      </c>
      <c r="C260" t="s">
        <v>98</v>
      </c>
      <c r="D260" t="s">
        <v>25</v>
      </c>
      <c r="E260" t="s">
        <v>6</v>
      </c>
      <c r="F260">
        <v>2625</v>
      </c>
      <c r="H260">
        <f t="shared" si="8"/>
        <v>4</v>
      </c>
      <c r="I260">
        <f t="shared" si="9"/>
        <v>2021</v>
      </c>
    </row>
    <row r="261" spans="1:9" x14ac:dyDescent="0.3">
      <c r="A261" s="1">
        <v>44315</v>
      </c>
      <c r="B261" t="s">
        <v>234</v>
      </c>
      <c r="C261" t="s">
        <v>108</v>
      </c>
      <c r="D261" t="s">
        <v>12</v>
      </c>
      <c r="E261" t="s">
        <v>99</v>
      </c>
      <c r="F261">
        <v>1080</v>
      </c>
      <c r="H261">
        <f t="shared" si="8"/>
        <v>4</v>
      </c>
      <c r="I261">
        <f t="shared" si="9"/>
        <v>2021</v>
      </c>
    </row>
    <row r="262" spans="1:9" x14ac:dyDescent="0.3">
      <c r="A262" s="1">
        <v>44315</v>
      </c>
      <c r="B262" t="s">
        <v>234</v>
      </c>
      <c r="C262" t="s">
        <v>38</v>
      </c>
      <c r="D262" t="s">
        <v>25</v>
      </c>
      <c r="E262" t="s">
        <v>62</v>
      </c>
      <c r="F262">
        <v>1710</v>
      </c>
      <c r="H262">
        <f t="shared" si="8"/>
        <v>4</v>
      </c>
      <c r="I262">
        <f t="shared" si="9"/>
        <v>2021</v>
      </c>
    </row>
    <row r="263" spans="1:9" x14ac:dyDescent="0.3">
      <c r="A263" s="1">
        <v>44315</v>
      </c>
      <c r="B263" t="s">
        <v>234</v>
      </c>
      <c r="C263" t="s">
        <v>11</v>
      </c>
      <c r="D263" t="s">
        <v>25</v>
      </c>
      <c r="E263" t="s">
        <v>62</v>
      </c>
      <c r="F263">
        <v>1710</v>
      </c>
      <c r="H263">
        <f t="shared" si="8"/>
        <v>4</v>
      </c>
      <c r="I263">
        <f t="shared" si="9"/>
        <v>2021</v>
      </c>
    </row>
    <row r="264" spans="1:9" x14ac:dyDescent="0.3">
      <c r="A264" s="1">
        <v>44315</v>
      </c>
      <c r="B264" t="s">
        <v>234</v>
      </c>
      <c r="C264" t="s">
        <v>94</v>
      </c>
      <c r="D264" t="s">
        <v>288</v>
      </c>
      <c r="E264" t="s">
        <v>186</v>
      </c>
      <c r="F264">
        <v>7600</v>
      </c>
      <c r="H264">
        <f t="shared" si="8"/>
        <v>4</v>
      </c>
      <c r="I264">
        <f t="shared" si="9"/>
        <v>2021</v>
      </c>
    </row>
    <row r="265" spans="1:9" x14ac:dyDescent="0.3">
      <c r="A265" s="1">
        <v>44315</v>
      </c>
      <c r="B265" t="s">
        <v>8</v>
      </c>
      <c r="G265">
        <v>3450</v>
      </c>
      <c r="H265">
        <f t="shared" si="8"/>
        <v>4</v>
      </c>
      <c r="I265">
        <f t="shared" si="9"/>
        <v>2021</v>
      </c>
    </row>
    <row r="266" spans="1:9" x14ac:dyDescent="0.3">
      <c r="A266" s="1">
        <v>44315</v>
      </c>
      <c r="B266" t="s">
        <v>8</v>
      </c>
      <c r="C266" t="s">
        <v>194</v>
      </c>
      <c r="D266">
        <v>117</v>
      </c>
      <c r="F266">
        <v>3450</v>
      </c>
      <c r="H266">
        <f t="shared" si="8"/>
        <v>4</v>
      </c>
      <c r="I266">
        <f t="shared" si="9"/>
        <v>2021</v>
      </c>
    </row>
    <row r="267" spans="1:9" x14ac:dyDescent="0.3">
      <c r="A267" s="1">
        <v>44315</v>
      </c>
      <c r="B267" t="s">
        <v>8</v>
      </c>
      <c r="C267" t="s">
        <v>38</v>
      </c>
      <c r="D267" t="s">
        <v>18</v>
      </c>
      <c r="E267" t="s">
        <v>13</v>
      </c>
      <c r="F267">
        <v>2070</v>
      </c>
      <c r="H267">
        <f t="shared" si="8"/>
        <v>4</v>
      </c>
      <c r="I267">
        <f t="shared" si="9"/>
        <v>2021</v>
      </c>
    </row>
    <row r="268" spans="1:9" x14ac:dyDescent="0.3">
      <c r="A268" s="1">
        <v>44315</v>
      </c>
      <c r="B268" t="s">
        <v>8</v>
      </c>
      <c r="C268" t="s">
        <v>11</v>
      </c>
      <c r="D268" t="s">
        <v>93</v>
      </c>
      <c r="E268" t="s">
        <v>13</v>
      </c>
      <c r="F268">
        <v>1380</v>
      </c>
      <c r="H268">
        <f t="shared" si="8"/>
        <v>4</v>
      </c>
      <c r="I268">
        <f t="shared" si="9"/>
        <v>2021</v>
      </c>
    </row>
    <row r="269" spans="1:9" x14ac:dyDescent="0.3">
      <c r="A269" s="1">
        <v>44315</v>
      </c>
      <c r="B269" t="s">
        <v>45</v>
      </c>
      <c r="G269">
        <v>67662</v>
      </c>
      <c r="H269">
        <f t="shared" si="8"/>
        <v>4</v>
      </c>
      <c r="I269">
        <f t="shared" si="9"/>
        <v>2021</v>
      </c>
    </row>
    <row r="270" spans="1:9" x14ac:dyDescent="0.3">
      <c r="A270" s="1">
        <v>44315</v>
      </c>
      <c r="B270" t="s">
        <v>45</v>
      </c>
      <c r="C270" t="s">
        <v>38</v>
      </c>
      <c r="D270" t="s">
        <v>73</v>
      </c>
      <c r="E270" t="s">
        <v>62</v>
      </c>
      <c r="F270">
        <v>4446</v>
      </c>
      <c r="H270">
        <f t="shared" si="8"/>
        <v>4</v>
      </c>
      <c r="I270">
        <f t="shared" si="9"/>
        <v>2021</v>
      </c>
    </row>
    <row r="271" spans="1:9" x14ac:dyDescent="0.3">
      <c r="A271" s="1">
        <v>44315</v>
      </c>
      <c r="B271" t="s">
        <v>45</v>
      </c>
      <c r="C271" t="s">
        <v>11</v>
      </c>
      <c r="D271" t="s">
        <v>73</v>
      </c>
      <c r="E271" t="s">
        <v>62</v>
      </c>
      <c r="F271">
        <v>4446</v>
      </c>
      <c r="H271">
        <f t="shared" si="8"/>
        <v>4</v>
      </c>
      <c r="I271">
        <f t="shared" si="9"/>
        <v>2021</v>
      </c>
    </row>
    <row r="272" spans="1:9" x14ac:dyDescent="0.3">
      <c r="A272" s="1">
        <v>44315</v>
      </c>
      <c r="B272" t="s">
        <v>45</v>
      </c>
      <c r="C272" t="s">
        <v>40</v>
      </c>
      <c r="D272" t="s">
        <v>52</v>
      </c>
      <c r="E272" t="s">
        <v>104</v>
      </c>
      <c r="F272">
        <v>16500</v>
      </c>
      <c r="H272">
        <f t="shared" si="8"/>
        <v>4</v>
      </c>
      <c r="I272">
        <f t="shared" si="9"/>
        <v>2021</v>
      </c>
    </row>
    <row r="273" spans="1:9" x14ac:dyDescent="0.3">
      <c r="A273" s="1">
        <v>44315</v>
      </c>
      <c r="B273" t="s">
        <v>45</v>
      </c>
      <c r="C273" t="s">
        <v>94</v>
      </c>
      <c r="D273" t="s">
        <v>289</v>
      </c>
      <c r="E273" t="s">
        <v>290</v>
      </c>
      <c r="F273">
        <v>28200</v>
      </c>
      <c r="H273">
        <f t="shared" si="8"/>
        <v>4</v>
      </c>
      <c r="I273">
        <f t="shared" si="9"/>
        <v>2021</v>
      </c>
    </row>
    <row r="274" spans="1:9" x14ac:dyDescent="0.3">
      <c r="A274" s="1">
        <v>44315</v>
      </c>
      <c r="B274" t="s">
        <v>45</v>
      </c>
      <c r="C274" t="s">
        <v>101</v>
      </c>
      <c r="D274" t="s">
        <v>25</v>
      </c>
      <c r="E274" t="s">
        <v>202</v>
      </c>
      <c r="F274">
        <v>2450</v>
      </c>
      <c r="H274">
        <f t="shared" si="8"/>
        <v>4</v>
      </c>
      <c r="I274">
        <f t="shared" si="9"/>
        <v>2021</v>
      </c>
    </row>
    <row r="275" spans="1:9" x14ac:dyDescent="0.3">
      <c r="A275" s="1">
        <v>44315</v>
      </c>
      <c r="B275" t="s">
        <v>45</v>
      </c>
      <c r="C275" t="s">
        <v>123</v>
      </c>
      <c r="D275" t="s">
        <v>25</v>
      </c>
      <c r="E275" t="s">
        <v>124</v>
      </c>
      <c r="F275">
        <v>3700</v>
      </c>
      <c r="H275">
        <f t="shared" si="8"/>
        <v>4</v>
      </c>
      <c r="I275">
        <f t="shared" si="9"/>
        <v>2021</v>
      </c>
    </row>
    <row r="276" spans="1:9" x14ac:dyDescent="0.3">
      <c r="A276" s="1">
        <v>44315</v>
      </c>
      <c r="B276" t="s">
        <v>45</v>
      </c>
      <c r="C276" t="s">
        <v>142</v>
      </c>
      <c r="D276" t="s">
        <v>25</v>
      </c>
      <c r="E276" t="s">
        <v>156</v>
      </c>
      <c r="F276">
        <v>2500</v>
      </c>
      <c r="H276">
        <f t="shared" si="8"/>
        <v>4</v>
      </c>
      <c r="I276">
        <f t="shared" si="9"/>
        <v>2021</v>
      </c>
    </row>
    <row r="277" spans="1:9" x14ac:dyDescent="0.3">
      <c r="A277" s="1">
        <v>44315</v>
      </c>
      <c r="B277" t="s">
        <v>45</v>
      </c>
      <c r="C277" t="s">
        <v>4</v>
      </c>
      <c r="D277" t="s">
        <v>25</v>
      </c>
      <c r="E277" t="s">
        <v>6</v>
      </c>
      <c r="F277">
        <v>2625</v>
      </c>
      <c r="H277">
        <f t="shared" si="8"/>
        <v>4</v>
      </c>
      <c r="I277">
        <f t="shared" si="9"/>
        <v>2021</v>
      </c>
    </row>
    <row r="278" spans="1:9" x14ac:dyDescent="0.3">
      <c r="A278" s="1">
        <v>44315</v>
      </c>
      <c r="B278" t="s">
        <v>45</v>
      </c>
      <c r="C278" t="s">
        <v>108</v>
      </c>
      <c r="D278" t="s">
        <v>25</v>
      </c>
      <c r="E278" t="s">
        <v>14</v>
      </c>
      <c r="F278">
        <v>2675</v>
      </c>
      <c r="H278">
        <f t="shared" si="8"/>
        <v>4</v>
      </c>
      <c r="I278">
        <f t="shared" si="9"/>
        <v>2021</v>
      </c>
    </row>
    <row r="279" spans="1:9" x14ac:dyDescent="0.3">
      <c r="A279" s="1">
        <v>44315</v>
      </c>
      <c r="B279" t="s">
        <v>45</v>
      </c>
      <c r="C279" t="s">
        <v>291</v>
      </c>
      <c r="D279" t="s">
        <v>12</v>
      </c>
      <c r="E279" t="s">
        <v>292</v>
      </c>
      <c r="F279">
        <v>100</v>
      </c>
      <c r="H279">
        <f t="shared" si="8"/>
        <v>4</v>
      </c>
      <c r="I279">
        <f t="shared" si="9"/>
        <v>2021</v>
      </c>
    </row>
    <row r="280" spans="1:9" x14ac:dyDescent="0.3">
      <c r="A280" s="1">
        <v>44315</v>
      </c>
      <c r="B280" t="s">
        <v>24</v>
      </c>
      <c r="H280">
        <f t="shared" si="8"/>
        <v>4</v>
      </c>
      <c r="I280">
        <f t="shared" si="9"/>
        <v>2021</v>
      </c>
    </row>
    <row r="281" spans="1:9" x14ac:dyDescent="0.3">
      <c r="A281" s="1">
        <v>44316</v>
      </c>
      <c r="B281" t="s">
        <v>3</v>
      </c>
      <c r="G281">
        <v>1190</v>
      </c>
      <c r="H281">
        <f t="shared" si="8"/>
        <v>4</v>
      </c>
      <c r="I281">
        <f t="shared" si="9"/>
        <v>2021</v>
      </c>
    </row>
    <row r="282" spans="1:9" x14ac:dyDescent="0.3">
      <c r="A282" s="1">
        <v>44316</v>
      </c>
      <c r="B282" t="s">
        <v>3</v>
      </c>
      <c r="C282" t="s">
        <v>266</v>
      </c>
      <c r="D282" t="s">
        <v>30</v>
      </c>
      <c r="E282" t="s">
        <v>20</v>
      </c>
      <c r="F282">
        <v>1190</v>
      </c>
      <c r="H282">
        <f t="shared" si="8"/>
        <v>4</v>
      </c>
      <c r="I282">
        <f t="shared" si="9"/>
        <v>2021</v>
      </c>
    </row>
    <row r="283" spans="1:9" x14ac:dyDescent="0.3">
      <c r="A283" s="1">
        <v>44316</v>
      </c>
      <c r="B283" t="s">
        <v>3</v>
      </c>
      <c r="G283">
        <v>3215</v>
      </c>
      <c r="H283">
        <f t="shared" si="8"/>
        <v>4</v>
      </c>
      <c r="I283">
        <f t="shared" si="9"/>
        <v>2021</v>
      </c>
    </row>
    <row r="284" spans="1:9" x14ac:dyDescent="0.3">
      <c r="A284" s="1">
        <v>44316</v>
      </c>
      <c r="B284" t="s">
        <v>3</v>
      </c>
      <c r="C284" t="s">
        <v>40</v>
      </c>
      <c r="D284" t="s">
        <v>25</v>
      </c>
      <c r="E284" t="s">
        <v>117</v>
      </c>
      <c r="F284">
        <v>1675</v>
      </c>
      <c r="H284">
        <f t="shared" si="8"/>
        <v>4</v>
      </c>
      <c r="I284">
        <f t="shared" si="9"/>
        <v>2021</v>
      </c>
    </row>
    <row r="285" spans="1:9" x14ac:dyDescent="0.3">
      <c r="A285" s="1">
        <v>44316</v>
      </c>
      <c r="B285" t="s">
        <v>3</v>
      </c>
      <c r="C285" t="s">
        <v>94</v>
      </c>
      <c r="D285" t="s">
        <v>174</v>
      </c>
      <c r="E285" t="s">
        <v>132</v>
      </c>
      <c r="F285">
        <v>1000</v>
      </c>
      <c r="H285">
        <f t="shared" si="8"/>
        <v>4</v>
      </c>
      <c r="I285">
        <f t="shared" si="9"/>
        <v>2021</v>
      </c>
    </row>
    <row r="286" spans="1:9" x14ac:dyDescent="0.3">
      <c r="A286" s="1">
        <v>44316</v>
      </c>
      <c r="B286" t="s">
        <v>3</v>
      </c>
      <c r="C286" t="s">
        <v>98</v>
      </c>
      <c r="D286" t="s">
        <v>5</v>
      </c>
      <c r="E286" t="s">
        <v>99</v>
      </c>
      <c r="F286">
        <v>540</v>
      </c>
      <c r="H286">
        <f t="shared" si="8"/>
        <v>4</v>
      </c>
      <c r="I286">
        <f t="shared" si="9"/>
        <v>2021</v>
      </c>
    </row>
    <row r="287" spans="1:9" x14ac:dyDescent="0.3">
      <c r="A287" s="1">
        <v>44316</v>
      </c>
      <c r="B287" t="s">
        <v>83</v>
      </c>
      <c r="G287">
        <v>21750</v>
      </c>
      <c r="H287">
        <f t="shared" si="8"/>
        <v>4</v>
      </c>
      <c r="I287">
        <f t="shared" si="9"/>
        <v>2021</v>
      </c>
    </row>
    <row r="288" spans="1:9" x14ac:dyDescent="0.3">
      <c r="A288" s="1">
        <v>44316</v>
      </c>
      <c r="B288" t="s">
        <v>83</v>
      </c>
      <c r="C288" t="s">
        <v>40</v>
      </c>
      <c r="D288" t="s">
        <v>52</v>
      </c>
      <c r="E288" t="s">
        <v>104</v>
      </c>
      <c r="F288">
        <v>16500</v>
      </c>
      <c r="H288">
        <f t="shared" si="8"/>
        <v>4</v>
      </c>
      <c r="I288">
        <f t="shared" si="9"/>
        <v>2021</v>
      </c>
    </row>
    <row r="289" spans="1:9" x14ac:dyDescent="0.3">
      <c r="A289" s="1">
        <v>44316</v>
      </c>
      <c r="B289" t="s">
        <v>83</v>
      </c>
      <c r="C289" t="s">
        <v>4</v>
      </c>
      <c r="D289" t="s">
        <v>37</v>
      </c>
      <c r="E289" t="s">
        <v>6</v>
      </c>
      <c r="F289">
        <v>5250</v>
      </c>
      <c r="H289">
        <f t="shared" si="8"/>
        <v>4</v>
      </c>
      <c r="I289">
        <f t="shared" si="9"/>
        <v>2021</v>
      </c>
    </row>
    <row r="290" spans="1:9" x14ac:dyDescent="0.3">
      <c r="A290" s="1">
        <v>44316</v>
      </c>
      <c r="B290" t="s">
        <v>8</v>
      </c>
      <c r="G290">
        <v>15265</v>
      </c>
      <c r="H290">
        <f t="shared" si="8"/>
        <v>4</v>
      </c>
      <c r="I290">
        <f t="shared" si="9"/>
        <v>2021</v>
      </c>
    </row>
    <row r="291" spans="1:9" x14ac:dyDescent="0.3">
      <c r="A291" s="1">
        <v>44316</v>
      </c>
      <c r="B291" t="s">
        <v>8</v>
      </c>
      <c r="C291" t="s">
        <v>194</v>
      </c>
      <c r="D291">
        <v>119</v>
      </c>
      <c r="F291">
        <v>15265</v>
      </c>
      <c r="H291">
        <f t="shared" si="8"/>
        <v>4</v>
      </c>
      <c r="I291">
        <f t="shared" si="9"/>
        <v>2021</v>
      </c>
    </row>
    <row r="292" spans="1:9" x14ac:dyDescent="0.3">
      <c r="A292" s="1">
        <v>44316</v>
      </c>
      <c r="B292" t="s">
        <v>8</v>
      </c>
      <c r="C292" t="s">
        <v>40</v>
      </c>
      <c r="D292" t="s">
        <v>9</v>
      </c>
      <c r="E292" t="s">
        <v>284</v>
      </c>
      <c r="F292">
        <v>6640</v>
      </c>
      <c r="H292">
        <f t="shared" si="8"/>
        <v>4</v>
      </c>
      <c r="I292">
        <f t="shared" si="9"/>
        <v>2021</v>
      </c>
    </row>
    <row r="293" spans="1:9" x14ac:dyDescent="0.3">
      <c r="A293" s="1">
        <v>44316</v>
      </c>
      <c r="B293" t="s">
        <v>8</v>
      </c>
      <c r="C293" t="s">
        <v>87</v>
      </c>
      <c r="D293" t="s">
        <v>61</v>
      </c>
      <c r="E293" t="s">
        <v>13</v>
      </c>
      <c r="F293">
        <v>5175</v>
      </c>
      <c r="H293">
        <f t="shared" si="8"/>
        <v>4</v>
      </c>
      <c r="I293">
        <f t="shared" si="9"/>
        <v>2021</v>
      </c>
    </row>
    <row r="294" spans="1:9" x14ac:dyDescent="0.3">
      <c r="A294" s="1">
        <v>44316</v>
      </c>
      <c r="B294" t="s">
        <v>8</v>
      </c>
      <c r="C294" t="s">
        <v>38</v>
      </c>
      <c r="D294" t="s">
        <v>37</v>
      </c>
      <c r="E294" t="s">
        <v>13</v>
      </c>
      <c r="F294">
        <v>3450</v>
      </c>
      <c r="H294">
        <f t="shared" si="8"/>
        <v>4</v>
      </c>
      <c r="I294">
        <f t="shared" si="9"/>
        <v>2021</v>
      </c>
    </row>
    <row r="295" spans="1:9" x14ac:dyDescent="0.3">
      <c r="A295" s="1">
        <v>44320</v>
      </c>
      <c r="B295" t="s">
        <v>3</v>
      </c>
      <c r="G295">
        <v>700</v>
      </c>
      <c r="H295">
        <f t="shared" si="8"/>
        <v>5</v>
      </c>
      <c r="I295">
        <f t="shared" si="9"/>
        <v>2021</v>
      </c>
    </row>
    <row r="296" spans="1:9" x14ac:dyDescent="0.3">
      <c r="A296" s="1">
        <v>44320</v>
      </c>
      <c r="B296" t="s">
        <v>3</v>
      </c>
      <c r="C296" t="s">
        <v>148</v>
      </c>
      <c r="D296" t="s">
        <v>93</v>
      </c>
      <c r="E296" t="s">
        <v>269</v>
      </c>
      <c r="F296">
        <v>700</v>
      </c>
      <c r="H296">
        <f t="shared" si="8"/>
        <v>5</v>
      </c>
      <c r="I296">
        <f t="shared" si="9"/>
        <v>2021</v>
      </c>
    </row>
    <row r="297" spans="1:9" x14ac:dyDescent="0.3">
      <c r="A297" s="1">
        <v>44323</v>
      </c>
      <c r="B297" t="s">
        <v>3</v>
      </c>
      <c r="G297">
        <v>735</v>
      </c>
      <c r="H297">
        <f t="shared" si="8"/>
        <v>5</v>
      </c>
      <c r="I297">
        <f t="shared" si="9"/>
        <v>2021</v>
      </c>
    </row>
    <row r="298" spans="1:9" x14ac:dyDescent="0.3">
      <c r="A298" s="1">
        <v>44323</v>
      </c>
      <c r="B298" t="s">
        <v>3</v>
      </c>
      <c r="C298" t="s">
        <v>40</v>
      </c>
      <c r="D298" t="s">
        <v>5</v>
      </c>
      <c r="E298" t="s">
        <v>117</v>
      </c>
      <c r="F298">
        <v>335</v>
      </c>
      <c r="H298">
        <f t="shared" si="8"/>
        <v>5</v>
      </c>
      <c r="I298">
        <f t="shared" si="9"/>
        <v>2021</v>
      </c>
    </row>
    <row r="299" spans="1:9" x14ac:dyDescent="0.3">
      <c r="A299" s="1">
        <v>44323</v>
      </c>
      <c r="B299" t="s">
        <v>3</v>
      </c>
      <c r="C299" t="s">
        <v>94</v>
      </c>
      <c r="D299" t="s">
        <v>137</v>
      </c>
      <c r="E299" t="s">
        <v>132</v>
      </c>
      <c r="F299">
        <v>400</v>
      </c>
      <c r="H299">
        <f t="shared" si="8"/>
        <v>5</v>
      </c>
      <c r="I299">
        <f t="shared" si="9"/>
        <v>2021</v>
      </c>
    </row>
    <row r="300" spans="1:9" x14ac:dyDescent="0.3">
      <c r="A300" s="1">
        <v>44323</v>
      </c>
      <c r="B300" t="s">
        <v>234</v>
      </c>
      <c r="G300">
        <v>14950</v>
      </c>
      <c r="H300">
        <f t="shared" si="8"/>
        <v>5</v>
      </c>
      <c r="I300">
        <f t="shared" si="9"/>
        <v>2021</v>
      </c>
    </row>
    <row r="301" spans="1:9" x14ac:dyDescent="0.3">
      <c r="A301" s="1">
        <v>44323</v>
      </c>
      <c r="B301" t="s">
        <v>234</v>
      </c>
      <c r="C301" t="s">
        <v>94</v>
      </c>
      <c r="D301" t="s">
        <v>288</v>
      </c>
      <c r="E301" t="s">
        <v>186</v>
      </c>
      <c r="F301">
        <v>7600</v>
      </c>
      <c r="H301">
        <f t="shared" si="8"/>
        <v>5</v>
      </c>
      <c r="I301">
        <f t="shared" si="9"/>
        <v>2021</v>
      </c>
    </row>
    <row r="302" spans="1:9" x14ac:dyDescent="0.3">
      <c r="A302" s="1">
        <v>44323</v>
      </c>
      <c r="B302" t="s">
        <v>234</v>
      </c>
      <c r="C302" t="s">
        <v>40</v>
      </c>
      <c r="D302" t="s">
        <v>37</v>
      </c>
      <c r="E302" t="s">
        <v>104</v>
      </c>
      <c r="F302">
        <v>3300</v>
      </c>
      <c r="H302">
        <f t="shared" si="8"/>
        <v>5</v>
      </c>
      <c r="I302">
        <f t="shared" si="9"/>
        <v>2021</v>
      </c>
    </row>
    <row r="303" spans="1:9" x14ac:dyDescent="0.3">
      <c r="A303" s="1">
        <v>44323</v>
      </c>
      <c r="B303" t="s">
        <v>234</v>
      </c>
      <c r="C303" t="s">
        <v>98</v>
      </c>
      <c r="D303" t="s">
        <v>93</v>
      </c>
      <c r="E303" t="s">
        <v>6</v>
      </c>
      <c r="F303">
        <v>2100</v>
      </c>
      <c r="H303">
        <f t="shared" si="8"/>
        <v>5</v>
      </c>
      <c r="I303">
        <f t="shared" si="9"/>
        <v>2021</v>
      </c>
    </row>
    <row r="304" spans="1:9" x14ac:dyDescent="0.3">
      <c r="A304" s="1">
        <v>44323</v>
      </c>
      <c r="B304" t="s">
        <v>234</v>
      </c>
      <c r="C304" t="s">
        <v>44</v>
      </c>
      <c r="D304" t="s">
        <v>23</v>
      </c>
      <c r="E304" t="s">
        <v>43</v>
      </c>
      <c r="F304">
        <v>1170</v>
      </c>
      <c r="H304">
        <f t="shared" si="8"/>
        <v>5</v>
      </c>
      <c r="I304">
        <f t="shared" si="9"/>
        <v>2021</v>
      </c>
    </row>
    <row r="305" spans="1:9" x14ac:dyDescent="0.3">
      <c r="A305" s="1">
        <v>44323</v>
      </c>
      <c r="B305" t="s">
        <v>234</v>
      </c>
      <c r="C305" t="s">
        <v>42</v>
      </c>
      <c r="D305" t="s">
        <v>12</v>
      </c>
      <c r="E305" t="s">
        <v>43</v>
      </c>
      <c r="F305">
        <v>780</v>
      </c>
      <c r="H305">
        <f t="shared" si="8"/>
        <v>5</v>
      </c>
      <c r="I305">
        <f t="shared" si="9"/>
        <v>2021</v>
      </c>
    </row>
    <row r="306" spans="1:9" x14ac:dyDescent="0.3">
      <c r="A306" s="1">
        <v>44323</v>
      </c>
      <c r="B306" t="s">
        <v>48</v>
      </c>
      <c r="G306">
        <v>16500</v>
      </c>
      <c r="H306">
        <f t="shared" si="8"/>
        <v>5</v>
      </c>
      <c r="I306">
        <f t="shared" si="9"/>
        <v>2021</v>
      </c>
    </row>
    <row r="307" spans="1:9" x14ac:dyDescent="0.3">
      <c r="A307" s="1">
        <v>44323</v>
      </c>
      <c r="B307" t="s">
        <v>48</v>
      </c>
      <c r="C307" t="s">
        <v>40</v>
      </c>
      <c r="D307" t="s">
        <v>52</v>
      </c>
      <c r="E307" t="s">
        <v>104</v>
      </c>
      <c r="F307">
        <v>16500</v>
      </c>
      <c r="H307">
        <f t="shared" si="8"/>
        <v>5</v>
      </c>
      <c r="I307">
        <f t="shared" si="9"/>
        <v>2021</v>
      </c>
    </row>
    <row r="308" spans="1:9" x14ac:dyDescent="0.3">
      <c r="A308" s="1">
        <v>44330</v>
      </c>
      <c r="B308" t="s">
        <v>96</v>
      </c>
      <c r="G308">
        <v>3300</v>
      </c>
      <c r="H308">
        <f t="shared" si="8"/>
        <v>5</v>
      </c>
      <c r="I308">
        <f t="shared" si="9"/>
        <v>2021</v>
      </c>
    </row>
    <row r="309" spans="1:9" x14ac:dyDescent="0.3">
      <c r="A309" s="1">
        <v>44330</v>
      </c>
      <c r="B309" t="s">
        <v>96</v>
      </c>
      <c r="C309" t="s">
        <v>40</v>
      </c>
      <c r="D309" t="s">
        <v>37</v>
      </c>
      <c r="E309" t="s">
        <v>104</v>
      </c>
      <c r="F309">
        <v>3300</v>
      </c>
      <c r="H309">
        <f t="shared" si="8"/>
        <v>5</v>
      </c>
      <c r="I309">
        <f t="shared" si="9"/>
        <v>2021</v>
      </c>
    </row>
    <row r="310" spans="1:9" x14ac:dyDescent="0.3">
      <c r="A310" s="1">
        <v>44330</v>
      </c>
      <c r="B310" t="s">
        <v>75</v>
      </c>
      <c r="G310">
        <v>26220</v>
      </c>
      <c r="H310">
        <f t="shared" si="8"/>
        <v>5</v>
      </c>
      <c r="I310">
        <f t="shared" si="9"/>
        <v>2021</v>
      </c>
    </row>
    <row r="311" spans="1:9" x14ac:dyDescent="0.3">
      <c r="A311" s="1">
        <v>44330</v>
      </c>
      <c r="B311" t="s">
        <v>75</v>
      </c>
      <c r="C311" t="s">
        <v>40</v>
      </c>
      <c r="D311" t="s">
        <v>39</v>
      </c>
      <c r="E311" t="s">
        <v>104</v>
      </c>
      <c r="F311">
        <v>9900</v>
      </c>
      <c r="H311">
        <f t="shared" ref="H311:H371" si="10">MONTH(A311)</f>
        <v>5</v>
      </c>
      <c r="I311">
        <f t="shared" ref="I311:I371" si="11">YEAR(A311)</f>
        <v>2021</v>
      </c>
    </row>
    <row r="312" spans="1:9" x14ac:dyDescent="0.3">
      <c r="A312" s="1">
        <v>44330</v>
      </c>
      <c r="B312" t="s">
        <v>75</v>
      </c>
      <c r="C312" t="s">
        <v>94</v>
      </c>
      <c r="D312" t="s">
        <v>288</v>
      </c>
      <c r="E312" t="s">
        <v>186</v>
      </c>
      <c r="F312">
        <v>7600</v>
      </c>
      <c r="H312">
        <f t="shared" si="10"/>
        <v>5</v>
      </c>
      <c r="I312">
        <f t="shared" si="11"/>
        <v>2021</v>
      </c>
    </row>
    <row r="313" spans="1:9" x14ac:dyDescent="0.3">
      <c r="A313" s="1">
        <v>44330</v>
      </c>
      <c r="B313" t="s">
        <v>75</v>
      </c>
      <c r="C313" t="s">
        <v>101</v>
      </c>
      <c r="D313" t="s">
        <v>93</v>
      </c>
      <c r="E313" t="s">
        <v>202</v>
      </c>
      <c r="F313">
        <v>1960</v>
      </c>
      <c r="H313">
        <f t="shared" si="10"/>
        <v>5</v>
      </c>
      <c r="I313">
        <f t="shared" si="11"/>
        <v>2021</v>
      </c>
    </row>
    <row r="314" spans="1:9" x14ac:dyDescent="0.3">
      <c r="A314" s="1">
        <v>44330</v>
      </c>
      <c r="B314" t="s">
        <v>75</v>
      </c>
      <c r="C314" t="s">
        <v>125</v>
      </c>
      <c r="D314" t="s">
        <v>23</v>
      </c>
      <c r="E314" t="s">
        <v>120</v>
      </c>
      <c r="F314">
        <v>2040</v>
      </c>
      <c r="H314">
        <f t="shared" si="10"/>
        <v>5</v>
      </c>
      <c r="I314">
        <f t="shared" si="11"/>
        <v>2021</v>
      </c>
    </row>
    <row r="315" spans="1:9" x14ac:dyDescent="0.3">
      <c r="A315" s="1">
        <v>44330</v>
      </c>
      <c r="B315" t="s">
        <v>75</v>
      </c>
      <c r="C315" t="s">
        <v>142</v>
      </c>
      <c r="D315" t="s">
        <v>12</v>
      </c>
      <c r="E315" t="s">
        <v>31</v>
      </c>
      <c r="F315">
        <v>1040</v>
      </c>
      <c r="H315">
        <f t="shared" si="10"/>
        <v>5</v>
      </c>
      <c r="I315">
        <f t="shared" si="11"/>
        <v>2021</v>
      </c>
    </row>
    <row r="316" spans="1:9" x14ac:dyDescent="0.3">
      <c r="A316" s="1">
        <v>44330</v>
      </c>
      <c r="B316" t="s">
        <v>75</v>
      </c>
      <c r="C316" t="s">
        <v>293</v>
      </c>
      <c r="D316" t="s">
        <v>37</v>
      </c>
      <c r="E316" t="s">
        <v>214</v>
      </c>
      <c r="F316">
        <v>2150</v>
      </c>
      <c r="H316">
        <f t="shared" si="10"/>
        <v>5</v>
      </c>
      <c r="I316">
        <f t="shared" si="11"/>
        <v>2021</v>
      </c>
    </row>
    <row r="317" spans="1:9" x14ac:dyDescent="0.3">
      <c r="A317" s="1">
        <v>44330</v>
      </c>
      <c r="B317" t="s">
        <v>75</v>
      </c>
      <c r="C317" t="s">
        <v>294</v>
      </c>
      <c r="D317" t="s">
        <v>23</v>
      </c>
      <c r="E317" t="s">
        <v>7</v>
      </c>
      <c r="F317">
        <v>1530</v>
      </c>
      <c r="H317">
        <f t="shared" si="10"/>
        <v>5</v>
      </c>
      <c r="I317">
        <f t="shared" si="11"/>
        <v>2021</v>
      </c>
    </row>
    <row r="318" spans="1:9" x14ac:dyDescent="0.3">
      <c r="A318" s="1">
        <v>44330</v>
      </c>
      <c r="B318" t="s">
        <v>3</v>
      </c>
      <c r="G318">
        <v>1610</v>
      </c>
      <c r="H318">
        <f t="shared" si="10"/>
        <v>5</v>
      </c>
      <c r="I318">
        <f t="shared" si="11"/>
        <v>2021</v>
      </c>
    </row>
    <row r="319" spans="1:9" x14ac:dyDescent="0.3">
      <c r="A319" s="1">
        <v>44330</v>
      </c>
      <c r="B319" t="s">
        <v>3</v>
      </c>
      <c r="C319" t="s">
        <v>40</v>
      </c>
      <c r="D319" t="s">
        <v>5</v>
      </c>
      <c r="E319" t="s">
        <v>117</v>
      </c>
      <c r="F319">
        <v>335</v>
      </c>
      <c r="H319">
        <f t="shared" si="10"/>
        <v>5</v>
      </c>
      <c r="I319">
        <f t="shared" si="11"/>
        <v>2021</v>
      </c>
    </row>
    <row r="320" spans="1:9" x14ac:dyDescent="0.3">
      <c r="A320" s="1">
        <v>44330</v>
      </c>
      <c r="B320" t="s">
        <v>3</v>
      </c>
      <c r="C320" t="s">
        <v>294</v>
      </c>
      <c r="D320" t="s">
        <v>5</v>
      </c>
      <c r="E320" t="s">
        <v>7</v>
      </c>
      <c r="F320">
        <v>510</v>
      </c>
      <c r="H320">
        <f t="shared" si="10"/>
        <v>5</v>
      </c>
      <c r="I320">
        <f t="shared" si="11"/>
        <v>2021</v>
      </c>
    </row>
    <row r="321" spans="1:9" x14ac:dyDescent="0.3">
      <c r="A321" s="1">
        <v>44330</v>
      </c>
      <c r="B321" t="s">
        <v>3</v>
      </c>
      <c r="C321" t="s">
        <v>11</v>
      </c>
      <c r="D321" t="s">
        <v>5</v>
      </c>
      <c r="E321" t="s">
        <v>100</v>
      </c>
      <c r="F321">
        <v>350</v>
      </c>
      <c r="H321">
        <f t="shared" si="10"/>
        <v>5</v>
      </c>
      <c r="I321">
        <f t="shared" si="11"/>
        <v>2021</v>
      </c>
    </row>
    <row r="322" spans="1:9" x14ac:dyDescent="0.3">
      <c r="A322" s="1">
        <v>44330</v>
      </c>
      <c r="B322" t="s">
        <v>3</v>
      </c>
      <c r="C322" t="s">
        <v>94</v>
      </c>
      <c r="D322" t="s">
        <v>131</v>
      </c>
      <c r="E322" t="s">
        <v>132</v>
      </c>
      <c r="F322">
        <v>200</v>
      </c>
      <c r="H322">
        <f t="shared" si="10"/>
        <v>5</v>
      </c>
      <c r="I322">
        <f t="shared" si="11"/>
        <v>2021</v>
      </c>
    </row>
    <row r="323" spans="1:9" x14ac:dyDescent="0.3">
      <c r="A323" s="1">
        <v>44330</v>
      </c>
      <c r="B323" t="s">
        <v>3</v>
      </c>
      <c r="C323" t="s">
        <v>293</v>
      </c>
      <c r="D323" t="s">
        <v>5</v>
      </c>
      <c r="E323" t="s">
        <v>214</v>
      </c>
      <c r="F323">
        <v>215</v>
      </c>
      <c r="H323">
        <f t="shared" si="10"/>
        <v>5</v>
      </c>
      <c r="I323">
        <f t="shared" si="11"/>
        <v>2021</v>
      </c>
    </row>
    <row r="324" spans="1:9" x14ac:dyDescent="0.3">
      <c r="A324" s="1">
        <v>44330</v>
      </c>
      <c r="B324" t="s">
        <v>8</v>
      </c>
      <c r="G324">
        <v>12200</v>
      </c>
      <c r="H324">
        <f t="shared" si="10"/>
        <v>5</v>
      </c>
      <c r="I324">
        <f t="shared" si="11"/>
        <v>2021</v>
      </c>
    </row>
    <row r="325" spans="1:9" x14ac:dyDescent="0.3">
      <c r="A325" s="1">
        <v>44330</v>
      </c>
      <c r="B325" t="s">
        <v>8</v>
      </c>
      <c r="C325" t="s">
        <v>191</v>
      </c>
      <c r="D325" t="s">
        <v>9</v>
      </c>
      <c r="E325" t="s">
        <v>192</v>
      </c>
      <c r="F325">
        <v>5300</v>
      </c>
      <c r="H325">
        <f t="shared" si="10"/>
        <v>5</v>
      </c>
      <c r="I325">
        <f t="shared" si="11"/>
        <v>2021</v>
      </c>
    </row>
    <row r="326" spans="1:9" x14ac:dyDescent="0.3">
      <c r="A326" s="1">
        <v>44330</v>
      </c>
      <c r="B326" t="s">
        <v>8</v>
      </c>
      <c r="C326" t="s">
        <v>38</v>
      </c>
      <c r="D326" t="s">
        <v>37</v>
      </c>
      <c r="E326" t="s">
        <v>13</v>
      </c>
      <c r="F326">
        <v>3450</v>
      </c>
      <c r="H326">
        <f t="shared" si="10"/>
        <v>5</v>
      </c>
      <c r="I326">
        <f t="shared" si="11"/>
        <v>2021</v>
      </c>
    </row>
    <row r="327" spans="1:9" x14ac:dyDescent="0.3">
      <c r="A327" s="1">
        <v>44330</v>
      </c>
      <c r="B327" t="s">
        <v>8</v>
      </c>
      <c r="C327" t="s">
        <v>11</v>
      </c>
      <c r="D327" t="s">
        <v>37</v>
      </c>
      <c r="E327" t="s">
        <v>13</v>
      </c>
      <c r="F327">
        <v>3450</v>
      </c>
      <c r="H327">
        <f t="shared" si="10"/>
        <v>5</v>
      </c>
      <c r="I327">
        <f t="shared" si="11"/>
        <v>2021</v>
      </c>
    </row>
    <row r="328" spans="1:9" x14ac:dyDescent="0.3">
      <c r="A328" s="1">
        <v>44334</v>
      </c>
      <c r="B328" t="s">
        <v>88</v>
      </c>
      <c r="G328">
        <v>740</v>
      </c>
      <c r="H328">
        <f t="shared" si="10"/>
        <v>5</v>
      </c>
      <c r="I328">
        <f t="shared" si="11"/>
        <v>2021</v>
      </c>
    </row>
    <row r="329" spans="1:9" x14ac:dyDescent="0.3">
      <c r="A329" s="1">
        <v>44334</v>
      </c>
      <c r="B329" t="s">
        <v>88</v>
      </c>
      <c r="C329" t="s">
        <v>194</v>
      </c>
      <c r="D329">
        <v>133</v>
      </c>
      <c r="E329" t="s">
        <v>86</v>
      </c>
      <c r="F329">
        <v>740</v>
      </c>
      <c r="H329">
        <f t="shared" si="10"/>
        <v>5</v>
      </c>
      <c r="I329">
        <f t="shared" si="11"/>
        <v>2021</v>
      </c>
    </row>
    <row r="330" spans="1:9" x14ac:dyDescent="0.3">
      <c r="A330" s="1">
        <v>44334</v>
      </c>
      <c r="B330" t="s">
        <v>88</v>
      </c>
      <c r="C330" t="s">
        <v>123</v>
      </c>
      <c r="D330" t="s">
        <v>5</v>
      </c>
      <c r="E330" t="s">
        <v>124</v>
      </c>
      <c r="F330">
        <v>740</v>
      </c>
      <c r="H330">
        <f t="shared" si="10"/>
        <v>5</v>
      </c>
      <c r="I330">
        <f t="shared" si="11"/>
        <v>2021</v>
      </c>
    </row>
    <row r="331" spans="1:9" x14ac:dyDescent="0.3">
      <c r="A331" s="1">
        <v>44334</v>
      </c>
      <c r="B331" t="s">
        <v>3</v>
      </c>
      <c r="G331">
        <v>3630</v>
      </c>
      <c r="H331">
        <f t="shared" si="10"/>
        <v>5</v>
      </c>
      <c r="I331">
        <f t="shared" si="11"/>
        <v>2021</v>
      </c>
    </row>
    <row r="332" spans="1:9" x14ac:dyDescent="0.3">
      <c r="A332" s="1">
        <v>44334</v>
      </c>
      <c r="B332" t="s">
        <v>3</v>
      </c>
      <c r="C332" t="s">
        <v>40</v>
      </c>
      <c r="D332" t="s">
        <v>66</v>
      </c>
      <c r="E332" t="s">
        <v>104</v>
      </c>
      <c r="F332">
        <v>3630</v>
      </c>
      <c r="H332">
        <f t="shared" si="10"/>
        <v>5</v>
      </c>
      <c r="I332">
        <f t="shared" si="11"/>
        <v>2021</v>
      </c>
    </row>
    <row r="333" spans="1:9" x14ac:dyDescent="0.3">
      <c r="A333" s="1">
        <v>44334</v>
      </c>
      <c r="B333" t="s">
        <v>3</v>
      </c>
      <c r="G333">
        <v>1690</v>
      </c>
      <c r="H333">
        <f t="shared" si="10"/>
        <v>5</v>
      </c>
      <c r="I333">
        <f t="shared" si="11"/>
        <v>2021</v>
      </c>
    </row>
    <row r="334" spans="1:9" x14ac:dyDescent="0.3">
      <c r="A334" s="1">
        <v>44334</v>
      </c>
      <c r="B334" t="s">
        <v>3</v>
      </c>
      <c r="C334" t="s">
        <v>293</v>
      </c>
      <c r="D334" t="s">
        <v>5</v>
      </c>
      <c r="E334" t="s">
        <v>214</v>
      </c>
      <c r="F334">
        <v>215</v>
      </c>
      <c r="H334">
        <f t="shared" si="10"/>
        <v>5</v>
      </c>
      <c r="I334">
        <f t="shared" si="11"/>
        <v>2021</v>
      </c>
    </row>
    <row r="335" spans="1:9" x14ac:dyDescent="0.3">
      <c r="A335" s="1">
        <v>44334</v>
      </c>
      <c r="B335" t="s">
        <v>3</v>
      </c>
      <c r="C335" t="s">
        <v>94</v>
      </c>
      <c r="D335" t="s">
        <v>137</v>
      </c>
      <c r="E335" t="s">
        <v>263</v>
      </c>
      <c r="F335">
        <v>390</v>
      </c>
      <c r="H335">
        <f t="shared" si="10"/>
        <v>5</v>
      </c>
      <c r="I335">
        <f t="shared" si="11"/>
        <v>2021</v>
      </c>
    </row>
    <row r="336" spans="1:9" x14ac:dyDescent="0.3">
      <c r="A336" s="1">
        <v>44334</v>
      </c>
      <c r="B336" t="s">
        <v>3</v>
      </c>
      <c r="C336" t="s">
        <v>40</v>
      </c>
      <c r="D336" t="s">
        <v>5</v>
      </c>
      <c r="E336" t="s">
        <v>117</v>
      </c>
      <c r="F336">
        <v>335</v>
      </c>
      <c r="H336">
        <f t="shared" si="10"/>
        <v>5</v>
      </c>
      <c r="I336">
        <f t="shared" si="11"/>
        <v>2021</v>
      </c>
    </row>
    <row r="337" spans="1:9" x14ac:dyDescent="0.3">
      <c r="A337" s="1">
        <v>44334</v>
      </c>
      <c r="B337" t="s">
        <v>3</v>
      </c>
      <c r="C337" t="s">
        <v>211</v>
      </c>
      <c r="D337" t="s">
        <v>5</v>
      </c>
      <c r="E337" t="s">
        <v>79</v>
      </c>
      <c r="F337">
        <v>420</v>
      </c>
      <c r="H337">
        <f t="shared" si="10"/>
        <v>5</v>
      </c>
      <c r="I337">
        <f t="shared" si="11"/>
        <v>2021</v>
      </c>
    </row>
    <row r="338" spans="1:9" x14ac:dyDescent="0.3">
      <c r="A338" s="1">
        <v>44334</v>
      </c>
      <c r="B338" t="s">
        <v>3</v>
      </c>
      <c r="C338" t="s">
        <v>40</v>
      </c>
      <c r="D338" t="s">
        <v>5</v>
      </c>
      <c r="E338" t="s">
        <v>104</v>
      </c>
      <c r="F338">
        <v>330</v>
      </c>
      <c r="H338">
        <f t="shared" si="10"/>
        <v>5</v>
      </c>
      <c r="I338">
        <f t="shared" si="11"/>
        <v>2021</v>
      </c>
    </row>
    <row r="339" spans="1:9" x14ac:dyDescent="0.3">
      <c r="A339" s="1">
        <v>44334</v>
      </c>
      <c r="B339" t="s">
        <v>248</v>
      </c>
      <c r="G339">
        <v>11850</v>
      </c>
      <c r="H339">
        <f t="shared" si="10"/>
        <v>5</v>
      </c>
      <c r="I339">
        <f t="shared" si="11"/>
        <v>2021</v>
      </c>
    </row>
    <row r="340" spans="1:9" x14ac:dyDescent="0.3">
      <c r="A340" s="1">
        <v>44334</v>
      </c>
      <c r="B340" t="s">
        <v>248</v>
      </c>
      <c r="C340" t="s">
        <v>94</v>
      </c>
      <c r="D340" t="s">
        <v>244</v>
      </c>
      <c r="E340" t="s">
        <v>263</v>
      </c>
      <c r="F340">
        <v>5850</v>
      </c>
      <c r="H340">
        <f t="shared" si="10"/>
        <v>5</v>
      </c>
      <c r="I340">
        <f t="shared" si="11"/>
        <v>2021</v>
      </c>
    </row>
    <row r="341" spans="1:9" x14ac:dyDescent="0.3">
      <c r="A341" s="1">
        <v>44334</v>
      </c>
      <c r="B341" t="s">
        <v>248</v>
      </c>
      <c r="C341" t="s">
        <v>40</v>
      </c>
      <c r="D341" t="s">
        <v>37</v>
      </c>
      <c r="E341" t="s">
        <v>104</v>
      </c>
      <c r="F341">
        <v>3300</v>
      </c>
      <c r="H341">
        <f t="shared" si="10"/>
        <v>5</v>
      </c>
      <c r="I341">
        <f t="shared" si="11"/>
        <v>2021</v>
      </c>
    </row>
    <row r="342" spans="1:9" x14ac:dyDescent="0.3">
      <c r="A342" s="1">
        <v>44334</v>
      </c>
      <c r="B342" t="s">
        <v>248</v>
      </c>
      <c r="C342" t="s">
        <v>98</v>
      </c>
      <c r="D342" t="s">
        <v>25</v>
      </c>
      <c r="E342" t="s">
        <v>99</v>
      </c>
      <c r="F342">
        <v>2700</v>
      </c>
      <c r="H342">
        <f t="shared" si="10"/>
        <v>5</v>
      </c>
      <c r="I342">
        <f t="shared" si="11"/>
        <v>2021</v>
      </c>
    </row>
    <row r="343" spans="1:9" x14ac:dyDescent="0.3">
      <c r="A343" s="1">
        <v>44334</v>
      </c>
      <c r="B343" t="s">
        <v>55</v>
      </c>
      <c r="G343">
        <v>3420</v>
      </c>
      <c r="H343">
        <f t="shared" si="10"/>
        <v>5</v>
      </c>
      <c r="I343">
        <f t="shared" si="11"/>
        <v>2021</v>
      </c>
    </row>
    <row r="344" spans="1:9" x14ac:dyDescent="0.3">
      <c r="A344" s="1">
        <v>44334</v>
      </c>
      <c r="B344" t="s">
        <v>55</v>
      </c>
      <c r="C344" t="s">
        <v>38</v>
      </c>
      <c r="D344" t="s">
        <v>37</v>
      </c>
      <c r="E344" t="s">
        <v>62</v>
      </c>
      <c r="F344">
        <v>3420</v>
      </c>
      <c r="H344">
        <f t="shared" si="10"/>
        <v>5</v>
      </c>
      <c r="I344">
        <f t="shared" si="11"/>
        <v>2021</v>
      </c>
    </row>
    <row r="345" spans="1:9" x14ac:dyDescent="0.3">
      <c r="A345" s="1">
        <v>44336</v>
      </c>
      <c r="B345" t="s">
        <v>3</v>
      </c>
      <c r="G345">
        <v>4810</v>
      </c>
      <c r="H345">
        <f t="shared" si="10"/>
        <v>5</v>
      </c>
      <c r="I345">
        <f t="shared" si="11"/>
        <v>2021</v>
      </c>
    </row>
    <row r="346" spans="1:9" x14ac:dyDescent="0.3">
      <c r="A346" s="1">
        <v>44336</v>
      </c>
      <c r="B346" t="s">
        <v>3</v>
      </c>
      <c r="C346" t="s">
        <v>98</v>
      </c>
      <c r="D346" t="s">
        <v>25</v>
      </c>
      <c r="E346" t="s">
        <v>249</v>
      </c>
      <c r="F346">
        <v>2610</v>
      </c>
      <c r="H346">
        <f t="shared" si="10"/>
        <v>5</v>
      </c>
      <c r="I346">
        <f t="shared" si="11"/>
        <v>2021</v>
      </c>
    </row>
    <row r="347" spans="1:9" x14ac:dyDescent="0.3">
      <c r="A347" s="1">
        <v>44336</v>
      </c>
      <c r="B347" t="s">
        <v>3</v>
      </c>
      <c r="C347" t="s">
        <v>108</v>
      </c>
      <c r="D347" t="s">
        <v>5</v>
      </c>
      <c r="E347" t="s">
        <v>69</v>
      </c>
      <c r="F347">
        <v>550</v>
      </c>
      <c r="H347">
        <f t="shared" si="10"/>
        <v>5</v>
      </c>
      <c r="I347">
        <f t="shared" si="11"/>
        <v>2021</v>
      </c>
    </row>
    <row r="348" spans="1:9" x14ac:dyDescent="0.3">
      <c r="A348" s="1">
        <v>44336</v>
      </c>
      <c r="B348" t="s">
        <v>3</v>
      </c>
      <c r="C348" t="s">
        <v>116</v>
      </c>
      <c r="D348" t="s">
        <v>5</v>
      </c>
      <c r="E348" t="s">
        <v>115</v>
      </c>
      <c r="F348">
        <v>650</v>
      </c>
      <c r="H348">
        <f t="shared" si="10"/>
        <v>5</v>
      </c>
      <c r="I348">
        <f t="shared" si="11"/>
        <v>2021</v>
      </c>
    </row>
    <row r="349" spans="1:9" x14ac:dyDescent="0.3">
      <c r="A349" s="1">
        <v>44336</v>
      </c>
      <c r="B349" t="s">
        <v>3</v>
      </c>
      <c r="C349" t="s">
        <v>211</v>
      </c>
      <c r="D349" t="s">
        <v>12</v>
      </c>
      <c r="E349" t="s">
        <v>156</v>
      </c>
      <c r="F349">
        <v>1000</v>
      </c>
      <c r="H349">
        <f t="shared" si="10"/>
        <v>5</v>
      </c>
      <c r="I349">
        <f t="shared" si="11"/>
        <v>2021</v>
      </c>
    </row>
    <row r="350" spans="1:9" x14ac:dyDescent="0.3">
      <c r="A350" s="1">
        <v>44336</v>
      </c>
      <c r="B350" t="s">
        <v>3</v>
      </c>
      <c r="G350">
        <v>1650</v>
      </c>
      <c r="H350">
        <f t="shared" si="10"/>
        <v>5</v>
      </c>
      <c r="I350">
        <f t="shared" si="11"/>
        <v>2021</v>
      </c>
    </row>
    <row r="351" spans="1:9" x14ac:dyDescent="0.3">
      <c r="A351" s="1">
        <v>44336</v>
      </c>
      <c r="B351" t="s">
        <v>3</v>
      </c>
      <c r="C351" t="s">
        <v>40</v>
      </c>
      <c r="D351" t="s">
        <v>25</v>
      </c>
      <c r="E351" t="s">
        <v>104</v>
      </c>
      <c r="F351">
        <v>1650</v>
      </c>
      <c r="H351">
        <f t="shared" si="10"/>
        <v>5</v>
      </c>
      <c r="I351">
        <f t="shared" si="11"/>
        <v>2021</v>
      </c>
    </row>
    <row r="352" spans="1:9" x14ac:dyDescent="0.3">
      <c r="A352" s="1">
        <v>44336</v>
      </c>
      <c r="B352" t="s">
        <v>82</v>
      </c>
      <c r="G352">
        <v>15740</v>
      </c>
      <c r="H352">
        <f t="shared" si="10"/>
        <v>5</v>
      </c>
      <c r="I352">
        <f t="shared" si="11"/>
        <v>2021</v>
      </c>
    </row>
    <row r="353" spans="1:9" x14ac:dyDescent="0.3">
      <c r="A353" s="1">
        <v>44336</v>
      </c>
      <c r="B353" t="s">
        <v>82</v>
      </c>
      <c r="C353" t="s">
        <v>40</v>
      </c>
      <c r="D353" t="s">
        <v>9</v>
      </c>
      <c r="E353" t="s">
        <v>104</v>
      </c>
      <c r="F353">
        <v>6600</v>
      </c>
      <c r="H353">
        <f t="shared" si="10"/>
        <v>5</v>
      </c>
      <c r="I353">
        <f t="shared" si="11"/>
        <v>2021</v>
      </c>
    </row>
    <row r="354" spans="1:9" x14ac:dyDescent="0.3">
      <c r="A354" s="1">
        <v>44336</v>
      </c>
      <c r="B354" t="s">
        <v>82</v>
      </c>
      <c r="C354" t="s">
        <v>94</v>
      </c>
      <c r="D354" t="s">
        <v>251</v>
      </c>
      <c r="E354" t="s">
        <v>186</v>
      </c>
      <c r="F354">
        <v>3800</v>
      </c>
      <c r="H354">
        <f t="shared" si="10"/>
        <v>5</v>
      </c>
      <c r="I354">
        <f t="shared" si="11"/>
        <v>2021</v>
      </c>
    </row>
    <row r="355" spans="1:9" x14ac:dyDescent="0.3">
      <c r="A355" s="1">
        <v>44336</v>
      </c>
      <c r="B355" t="s">
        <v>82</v>
      </c>
      <c r="C355" t="s">
        <v>294</v>
      </c>
      <c r="D355" t="s">
        <v>12</v>
      </c>
      <c r="E355" t="s">
        <v>156</v>
      </c>
      <c r="F355">
        <v>1000</v>
      </c>
      <c r="H355">
        <f t="shared" si="10"/>
        <v>5</v>
      </c>
      <c r="I355">
        <f t="shared" si="11"/>
        <v>2021</v>
      </c>
    </row>
    <row r="356" spans="1:9" x14ac:dyDescent="0.3">
      <c r="A356" s="1">
        <v>44336</v>
      </c>
      <c r="B356" t="s">
        <v>82</v>
      </c>
      <c r="C356" t="s">
        <v>56</v>
      </c>
      <c r="D356" t="s">
        <v>16</v>
      </c>
      <c r="E356" t="s">
        <v>295</v>
      </c>
      <c r="F356">
        <v>1515</v>
      </c>
      <c r="H356">
        <f t="shared" si="10"/>
        <v>5</v>
      </c>
      <c r="I356">
        <f t="shared" si="11"/>
        <v>2021</v>
      </c>
    </row>
    <row r="357" spans="1:9" x14ac:dyDescent="0.3">
      <c r="A357" s="1">
        <v>44336</v>
      </c>
      <c r="B357" t="s">
        <v>82</v>
      </c>
      <c r="C357" t="s">
        <v>68</v>
      </c>
      <c r="D357" t="s">
        <v>25</v>
      </c>
      <c r="E357" t="s">
        <v>49</v>
      </c>
      <c r="F357">
        <v>2825</v>
      </c>
      <c r="H357">
        <f t="shared" si="10"/>
        <v>5</v>
      </c>
      <c r="I357">
        <f t="shared" si="11"/>
        <v>2021</v>
      </c>
    </row>
    <row r="358" spans="1:9" x14ac:dyDescent="0.3">
      <c r="A358" s="1">
        <v>44336</v>
      </c>
      <c r="B358" t="s">
        <v>51</v>
      </c>
      <c r="G358">
        <v>690</v>
      </c>
      <c r="H358">
        <f t="shared" si="10"/>
        <v>5</v>
      </c>
      <c r="I358">
        <f t="shared" si="11"/>
        <v>2021</v>
      </c>
    </row>
    <row r="359" spans="1:9" x14ac:dyDescent="0.3">
      <c r="A359" s="1">
        <v>44336</v>
      </c>
      <c r="B359" t="s">
        <v>51</v>
      </c>
      <c r="C359" t="s">
        <v>11</v>
      </c>
      <c r="D359" t="s">
        <v>12</v>
      </c>
      <c r="E359" t="s">
        <v>13</v>
      </c>
      <c r="F359">
        <v>690</v>
      </c>
      <c r="H359">
        <f t="shared" si="10"/>
        <v>5</v>
      </c>
      <c r="I359">
        <f t="shared" si="11"/>
        <v>2021</v>
      </c>
    </row>
    <row r="360" spans="1:9" x14ac:dyDescent="0.3">
      <c r="A360" s="1">
        <v>44337</v>
      </c>
      <c r="B360" t="s">
        <v>48</v>
      </c>
      <c r="G360">
        <v>4950</v>
      </c>
      <c r="H360">
        <f t="shared" si="10"/>
        <v>5</v>
      </c>
      <c r="I360">
        <f t="shared" si="11"/>
        <v>2021</v>
      </c>
    </row>
    <row r="361" spans="1:9" x14ac:dyDescent="0.3">
      <c r="A361" s="1">
        <v>44337</v>
      </c>
      <c r="B361" t="s">
        <v>48</v>
      </c>
      <c r="C361" t="s">
        <v>40</v>
      </c>
      <c r="D361" t="s">
        <v>61</v>
      </c>
      <c r="E361" t="s">
        <v>104</v>
      </c>
      <c r="F361">
        <v>4950</v>
      </c>
      <c r="H361">
        <f t="shared" si="10"/>
        <v>5</v>
      </c>
      <c r="I361">
        <f t="shared" si="11"/>
        <v>2021</v>
      </c>
    </row>
    <row r="362" spans="1:9" x14ac:dyDescent="0.3">
      <c r="A362" s="1">
        <v>44337</v>
      </c>
      <c r="B362" t="s">
        <v>234</v>
      </c>
      <c r="G362">
        <v>21317</v>
      </c>
      <c r="H362">
        <f t="shared" si="10"/>
        <v>5</v>
      </c>
      <c r="I362">
        <f t="shared" si="11"/>
        <v>2021</v>
      </c>
    </row>
    <row r="363" spans="1:9" x14ac:dyDescent="0.3">
      <c r="A363" s="1">
        <v>44337</v>
      </c>
      <c r="B363" t="s">
        <v>234</v>
      </c>
      <c r="C363" t="s">
        <v>148</v>
      </c>
      <c r="D363" t="s">
        <v>5</v>
      </c>
      <c r="E363" t="s">
        <v>269</v>
      </c>
      <c r="H363">
        <f t="shared" si="10"/>
        <v>5</v>
      </c>
      <c r="I363">
        <f t="shared" si="11"/>
        <v>2021</v>
      </c>
    </row>
    <row r="364" spans="1:9" x14ac:dyDescent="0.3">
      <c r="A364" s="1">
        <v>44337</v>
      </c>
      <c r="B364" t="s">
        <v>234</v>
      </c>
      <c r="C364" t="s">
        <v>94</v>
      </c>
      <c r="D364" t="s">
        <v>288</v>
      </c>
      <c r="E364" t="s">
        <v>186</v>
      </c>
      <c r="F364">
        <v>7600</v>
      </c>
      <c r="H364">
        <f t="shared" si="10"/>
        <v>5</v>
      </c>
      <c r="I364">
        <f t="shared" si="11"/>
        <v>2021</v>
      </c>
    </row>
    <row r="365" spans="1:9" x14ac:dyDescent="0.3">
      <c r="A365" s="1">
        <v>44337</v>
      </c>
      <c r="B365" t="s">
        <v>234</v>
      </c>
      <c r="C365" t="s">
        <v>293</v>
      </c>
      <c r="D365" t="s">
        <v>73</v>
      </c>
      <c r="E365" t="s">
        <v>214</v>
      </c>
      <c r="F365">
        <v>2795</v>
      </c>
      <c r="H365">
        <f t="shared" si="10"/>
        <v>5</v>
      </c>
      <c r="I365">
        <f t="shared" si="11"/>
        <v>2021</v>
      </c>
    </row>
    <row r="366" spans="1:9" x14ac:dyDescent="0.3">
      <c r="A366" s="1">
        <v>44337</v>
      </c>
      <c r="B366" t="s">
        <v>234</v>
      </c>
      <c r="C366" t="s">
        <v>38</v>
      </c>
      <c r="D366" t="s">
        <v>23</v>
      </c>
      <c r="E366" t="s">
        <v>62</v>
      </c>
      <c r="F366">
        <v>1026</v>
      </c>
      <c r="H366">
        <f t="shared" si="10"/>
        <v>5</v>
      </c>
      <c r="I366">
        <f t="shared" si="11"/>
        <v>2021</v>
      </c>
    </row>
    <row r="367" spans="1:9" x14ac:dyDescent="0.3">
      <c r="A367" s="1">
        <v>44337</v>
      </c>
      <c r="B367" t="s">
        <v>234</v>
      </c>
      <c r="C367" t="s">
        <v>11</v>
      </c>
      <c r="D367" t="s">
        <v>23</v>
      </c>
      <c r="E367" t="s">
        <v>62</v>
      </c>
      <c r="F367">
        <v>1026</v>
      </c>
      <c r="H367">
        <f t="shared" si="10"/>
        <v>5</v>
      </c>
      <c r="I367">
        <f t="shared" si="11"/>
        <v>2021</v>
      </c>
    </row>
    <row r="368" spans="1:9" x14ac:dyDescent="0.3">
      <c r="A368" s="1">
        <v>44337</v>
      </c>
      <c r="B368" t="s">
        <v>234</v>
      </c>
      <c r="C368" t="s">
        <v>40</v>
      </c>
      <c r="D368" t="s">
        <v>25</v>
      </c>
      <c r="E368" t="s">
        <v>104</v>
      </c>
      <c r="F368">
        <v>1650</v>
      </c>
      <c r="H368">
        <f t="shared" si="10"/>
        <v>5</v>
      </c>
      <c r="I368">
        <f t="shared" si="11"/>
        <v>2021</v>
      </c>
    </row>
    <row r="369" spans="1:9" x14ac:dyDescent="0.3">
      <c r="A369" s="1">
        <v>44337</v>
      </c>
      <c r="B369" t="s">
        <v>234</v>
      </c>
      <c r="C369" t="s">
        <v>294</v>
      </c>
      <c r="D369" t="s">
        <v>12</v>
      </c>
      <c r="E369" t="s">
        <v>156</v>
      </c>
      <c r="F369">
        <v>1000</v>
      </c>
      <c r="H369">
        <f t="shared" si="10"/>
        <v>5</v>
      </c>
      <c r="I369">
        <f t="shared" si="11"/>
        <v>2021</v>
      </c>
    </row>
    <row r="370" spans="1:9" x14ac:dyDescent="0.3">
      <c r="A370" s="1">
        <v>44337</v>
      </c>
      <c r="B370" t="s">
        <v>234</v>
      </c>
      <c r="C370" t="s">
        <v>142</v>
      </c>
      <c r="D370" t="s">
        <v>12</v>
      </c>
      <c r="E370" t="s">
        <v>156</v>
      </c>
      <c r="F370">
        <v>1000</v>
      </c>
      <c r="H370">
        <f t="shared" si="10"/>
        <v>5</v>
      </c>
      <c r="I370">
        <f t="shared" si="11"/>
        <v>2021</v>
      </c>
    </row>
    <row r="371" spans="1:9" x14ac:dyDescent="0.3">
      <c r="A371" s="1">
        <v>44337</v>
      </c>
      <c r="B371" t="s">
        <v>234</v>
      </c>
      <c r="C371" t="s">
        <v>98</v>
      </c>
      <c r="D371" t="s">
        <v>93</v>
      </c>
      <c r="E371" t="s">
        <v>6</v>
      </c>
      <c r="F371">
        <v>2100</v>
      </c>
      <c r="H371">
        <f t="shared" si="10"/>
        <v>5</v>
      </c>
      <c r="I371">
        <f t="shared" si="11"/>
        <v>2021</v>
      </c>
    </row>
    <row r="372" spans="1:9" x14ac:dyDescent="0.3">
      <c r="A372" s="1">
        <v>44337</v>
      </c>
      <c r="B372" t="s">
        <v>234</v>
      </c>
      <c r="C372" t="s">
        <v>204</v>
      </c>
      <c r="D372" t="s">
        <v>12</v>
      </c>
      <c r="E372" t="s">
        <v>205</v>
      </c>
      <c r="F372">
        <v>1500</v>
      </c>
      <c r="H372">
        <f t="shared" ref="H372:H394" si="12">MONTH(A372)</f>
        <v>5</v>
      </c>
      <c r="I372">
        <f t="shared" ref="I372:I394" si="13">YEAR(A372)</f>
        <v>2021</v>
      </c>
    </row>
    <row r="373" spans="1:9" x14ac:dyDescent="0.3">
      <c r="A373" s="1">
        <v>44337</v>
      </c>
      <c r="B373" t="s">
        <v>234</v>
      </c>
      <c r="C373" t="s">
        <v>134</v>
      </c>
      <c r="D373" t="s">
        <v>23</v>
      </c>
      <c r="E373" t="s">
        <v>99</v>
      </c>
      <c r="F373">
        <v>1620</v>
      </c>
      <c r="H373">
        <f t="shared" si="12"/>
        <v>5</v>
      </c>
      <c r="I373">
        <f t="shared" si="13"/>
        <v>2021</v>
      </c>
    </row>
    <row r="374" spans="1:9" x14ac:dyDescent="0.3">
      <c r="A374" s="1">
        <v>44341</v>
      </c>
      <c r="B374" t="s">
        <v>3</v>
      </c>
      <c r="G374">
        <v>850</v>
      </c>
      <c r="H374">
        <f t="shared" si="12"/>
        <v>5</v>
      </c>
      <c r="I374">
        <f t="shared" si="13"/>
        <v>2021</v>
      </c>
    </row>
    <row r="375" spans="1:9" x14ac:dyDescent="0.3">
      <c r="A375" s="1">
        <v>44341</v>
      </c>
      <c r="B375" t="s">
        <v>3</v>
      </c>
      <c r="C375" t="s">
        <v>116</v>
      </c>
      <c r="D375" t="s">
        <v>5</v>
      </c>
      <c r="E375" t="s">
        <v>115</v>
      </c>
      <c r="F375">
        <v>650</v>
      </c>
      <c r="H375">
        <f t="shared" si="12"/>
        <v>5</v>
      </c>
      <c r="I375">
        <f t="shared" si="13"/>
        <v>2021</v>
      </c>
    </row>
    <row r="376" spans="1:9" x14ac:dyDescent="0.3">
      <c r="A376" s="1">
        <v>44341</v>
      </c>
      <c r="B376" t="s">
        <v>3</v>
      </c>
      <c r="C376" t="s">
        <v>94</v>
      </c>
      <c r="D376" t="s">
        <v>131</v>
      </c>
      <c r="E376" t="s">
        <v>132</v>
      </c>
      <c r="F376">
        <v>200</v>
      </c>
      <c r="H376">
        <f t="shared" si="12"/>
        <v>5</v>
      </c>
      <c r="I376">
        <f t="shared" si="13"/>
        <v>2021</v>
      </c>
    </row>
    <row r="377" spans="1:9" x14ac:dyDescent="0.3">
      <c r="A377" s="1">
        <v>44341</v>
      </c>
      <c r="B377" t="s">
        <v>75</v>
      </c>
      <c r="G377">
        <v>14100</v>
      </c>
      <c r="H377">
        <f t="shared" si="12"/>
        <v>5</v>
      </c>
      <c r="I377">
        <f t="shared" si="13"/>
        <v>2021</v>
      </c>
    </row>
    <row r="378" spans="1:9" x14ac:dyDescent="0.3">
      <c r="A378" s="1">
        <v>44341</v>
      </c>
      <c r="B378" t="s">
        <v>75</v>
      </c>
      <c r="C378" t="s">
        <v>293</v>
      </c>
      <c r="D378" t="s">
        <v>61</v>
      </c>
      <c r="E378" t="s">
        <v>223</v>
      </c>
      <c r="F378">
        <v>3150</v>
      </c>
      <c r="H378">
        <f t="shared" si="12"/>
        <v>5</v>
      </c>
      <c r="I378">
        <f t="shared" si="13"/>
        <v>2021</v>
      </c>
    </row>
    <row r="379" spans="1:9" x14ac:dyDescent="0.3">
      <c r="A379" s="1">
        <v>44341</v>
      </c>
      <c r="B379" t="s">
        <v>75</v>
      </c>
      <c r="C379" t="s">
        <v>94</v>
      </c>
      <c r="D379" t="s">
        <v>244</v>
      </c>
      <c r="E379" t="s">
        <v>186</v>
      </c>
      <c r="F379">
        <v>5700</v>
      </c>
      <c r="H379">
        <f t="shared" si="12"/>
        <v>5</v>
      </c>
      <c r="I379">
        <f t="shared" si="13"/>
        <v>2021</v>
      </c>
    </row>
    <row r="380" spans="1:9" x14ac:dyDescent="0.3">
      <c r="A380" s="1">
        <v>44341</v>
      </c>
      <c r="B380" t="s">
        <v>75</v>
      </c>
      <c r="C380" t="s">
        <v>293</v>
      </c>
      <c r="D380" t="s">
        <v>80</v>
      </c>
      <c r="E380" t="s">
        <v>223</v>
      </c>
      <c r="F380">
        <v>5250</v>
      </c>
      <c r="H380">
        <f t="shared" si="12"/>
        <v>5</v>
      </c>
      <c r="I380">
        <f t="shared" si="13"/>
        <v>2021</v>
      </c>
    </row>
    <row r="381" spans="1:9" x14ac:dyDescent="0.3">
      <c r="A381" s="1">
        <v>44341</v>
      </c>
      <c r="B381" t="s">
        <v>8</v>
      </c>
      <c r="G381">
        <v>20250</v>
      </c>
      <c r="H381">
        <f t="shared" si="12"/>
        <v>5</v>
      </c>
      <c r="I381">
        <f t="shared" si="13"/>
        <v>2021</v>
      </c>
    </row>
    <row r="382" spans="1:9" x14ac:dyDescent="0.3">
      <c r="A382" s="1">
        <v>44341</v>
      </c>
      <c r="B382" t="s">
        <v>8</v>
      </c>
      <c r="C382" t="s">
        <v>40</v>
      </c>
      <c r="D382" t="s">
        <v>39</v>
      </c>
      <c r="E382" t="s">
        <v>104</v>
      </c>
      <c r="F382">
        <v>9900</v>
      </c>
      <c r="H382">
        <f t="shared" si="12"/>
        <v>5</v>
      </c>
      <c r="I382">
        <f t="shared" si="13"/>
        <v>2021</v>
      </c>
    </row>
    <row r="383" spans="1:9" x14ac:dyDescent="0.3">
      <c r="A383" s="1">
        <v>44341</v>
      </c>
      <c r="B383" t="s">
        <v>8</v>
      </c>
      <c r="C383" t="s">
        <v>38</v>
      </c>
      <c r="D383" t="s">
        <v>9</v>
      </c>
      <c r="E383" t="s">
        <v>13</v>
      </c>
      <c r="F383">
        <v>6900</v>
      </c>
      <c r="H383">
        <f t="shared" si="12"/>
        <v>5</v>
      </c>
      <c r="I383">
        <f t="shared" si="13"/>
        <v>2021</v>
      </c>
    </row>
    <row r="384" spans="1:9" x14ac:dyDescent="0.3">
      <c r="A384" s="1">
        <v>44341</v>
      </c>
      <c r="B384" t="s">
        <v>8</v>
      </c>
      <c r="C384" t="s">
        <v>11</v>
      </c>
      <c r="D384" t="s">
        <v>37</v>
      </c>
      <c r="E384" t="s">
        <v>13</v>
      </c>
      <c r="F384">
        <v>3450</v>
      </c>
      <c r="H384">
        <f t="shared" si="12"/>
        <v>5</v>
      </c>
      <c r="I384">
        <f t="shared" si="13"/>
        <v>2021</v>
      </c>
    </row>
    <row r="385" spans="1:9" x14ac:dyDescent="0.3">
      <c r="A385" s="1">
        <v>44343</v>
      </c>
      <c r="B385" t="s">
        <v>3</v>
      </c>
      <c r="G385">
        <v>12800</v>
      </c>
      <c r="H385">
        <f t="shared" si="12"/>
        <v>5</v>
      </c>
      <c r="I385">
        <f t="shared" si="13"/>
        <v>2021</v>
      </c>
    </row>
    <row r="386" spans="1:9" x14ac:dyDescent="0.3">
      <c r="A386" s="1">
        <v>44343</v>
      </c>
      <c r="B386" t="s">
        <v>3</v>
      </c>
      <c r="C386" t="s">
        <v>94</v>
      </c>
      <c r="D386" t="s">
        <v>245</v>
      </c>
      <c r="E386" t="s">
        <v>186</v>
      </c>
      <c r="F386">
        <v>9500</v>
      </c>
      <c r="H386">
        <f t="shared" si="12"/>
        <v>5</v>
      </c>
      <c r="I386">
        <f t="shared" si="13"/>
        <v>2021</v>
      </c>
    </row>
    <row r="387" spans="1:9" x14ac:dyDescent="0.3">
      <c r="A387" s="1">
        <v>44343</v>
      </c>
      <c r="B387" t="s">
        <v>3</v>
      </c>
      <c r="C387" t="s">
        <v>40</v>
      </c>
      <c r="D387" t="s">
        <v>37</v>
      </c>
      <c r="E387" t="s">
        <v>104</v>
      </c>
      <c r="F387">
        <v>3300</v>
      </c>
      <c r="H387">
        <f t="shared" si="12"/>
        <v>5</v>
      </c>
      <c r="I387">
        <f t="shared" si="13"/>
        <v>2021</v>
      </c>
    </row>
    <row r="388" spans="1:9" x14ac:dyDescent="0.3">
      <c r="A388" s="1">
        <v>44344</v>
      </c>
      <c r="B388" t="s">
        <v>3</v>
      </c>
      <c r="G388">
        <v>1000</v>
      </c>
      <c r="H388">
        <f t="shared" si="12"/>
        <v>5</v>
      </c>
      <c r="I388">
        <f t="shared" si="13"/>
        <v>2021</v>
      </c>
    </row>
    <row r="389" spans="1:9" x14ac:dyDescent="0.3">
      <c r="A389" s="1">
        <v>44344</v>
      </c>
      <c r="B389" t="s">
        <v>3</v>
      </c>
      <c r="C389" t="s">
        <v>40</v>
      </c>
      <c r="D389" t="s">
        <v>23</v>
      </c>
      <c r="E389" t="s">
        <v>185</v>
      </c>
      <c r="F389">
        <v>1000</v>
      </c>
      <c r="H389">
        <f t="shared" si="12"/>
        <v>5</v>
      </c>
      <c r="I389">
        <f t="shared" si="13"/>
        <v>2021</v>
      </c>
    </row>
    <row r="390" spans="1:9" x14ac:dyDescent="0.3">
      <c r="A390" s="1">
        <v>44344</v>
      </c>
      <c r="B390" t="s">
        <v>48</v>
      </c>
      <c r="G390">
        <v>21450</v>
      </c>
      <c r="H390">
        <f t="shared" si="12"/>
        <v>5</v>
      </c>
      <c r="I390">
        <f t="shared" si="13"/>
        <v>2021</v>
      </c>
    </row>
    <row r="391" spans="1:9" x14ac:dyDescent="0.3">
      <c r="A391" s="1">
        <v>44344</v>
      </c>
      <c r="B391" t="s">
        <v>48</v>
      </c>
      <c r="C391" t="s">
        <v>40</v>
      </c>
      <c r="D391" t="s">
        <v>80</v>
      </c>
      <c r="E391" t="s">
        <v>104</v>
      </c>
      <c r="F391">
        <v>8250</v>
      </c>
      <c r="H391">
        <f t="shared" si="12"/>
        <v>5</v>
      </c>
      <c r="I391">
        <f t="shared" si="13"/>
        <v>2021</v>
      </c>
    </row>
    <row r="392" spans="1:9" x14ac:dyDescent="0.3">
      <c r="A392" s="1">
        <v>44344</v>
      </c>
      <c r="B392" t="s">
        <v>48</v>
      </c>
      <c r="C392" t="s">
        <v>40</v>
      </c>
      <c r="D392" t="s">
        <v>54</v>
      </c>
      <c r="E392" t="s">
        <v>104</v>
      </c>
      <c r="F392">
        <v>13200</v>
      </c>
      <c r="H392">
        <f t="shared" si="12"/>
        <v>5</v>
      </c>
      <c r="I392">
        <f t="shared" si="13"/>
        <v>2021</v>
      </c>
    </row>
    <row r="393" spans="1:9" x14ac:dyDescent="0.3">
      <c r="A393" s="1">
        <v>44344</v>
      </c>
      <c r="B393" t="s">
        <v>96</v>
      </c>
      <c r="G393">
        <v>1650</v>
      </c>
      <c r="H393">
        <f t="shared" si="12"/>
        <v>5</v>
      </c>
      <c r="I393">
        <f t="shared" si="13"/>
        <v>2021</v>
      </c>
    </row>
    <row r="394" spans="1:9" x14ac:dyDescent="0.3">
      <c r="A394" s="1">
        <v>44344</v>
      </c>
      <c r="B394" t="s">
        <v>96</v>
      </c>
      <c r="C394" t="s">
        <v>40</v>
      </c>
      <c r="D394" t="s">
        <v>25</v>
      </c>
      <c r="E394" t="s">
        <v>104</v>
      </c>
      <c r="F394">
        <v>1650</v>
      </c>
      <c r="H394">
        <f t="shared" si="12"/>
        <v>5</v>
      </c>
      <c r="I394">
        <f t="shared" si="13"/>
        <v>2021</v>
      </c>
    </row>
    <row r="395" spans="1:9" x14ac:dyDescent="0.3">
      <c r="A395" s="1">
        <v>44365</v>
      </c>
      <c r="B395" t="s">
        <v>88</v>
      </c>
      <c r="G395">
        <v>9500</v>
      </c>
      <c r="H395">
        <f t="shared" ref="H395:H458" si="14">MONTH(A395)</f>
        <v>6</v>
      </c>
      <c r="I395">
        <f t="shared" ref="I395:I458" si="15">YEAR(A395)</f>
        <v>2021</v>
      </c>
    </row>
    <row r="396" spans="1:9" x14ac:dyDescent="0.3">
      <c r="A396" s="1">
        <v>44365</v>
      </c>
      <c r="B396" t="s">
        <v>88</v>
      </c>
      <c r="C396" t="s">
        <v>44</v>
      </c>
      <c r="D396" t="s">
        <v>80</v>
      </c>
      <c r="E396" t="s">
        <v>53</v>
      </c>
      <c r="F396">
        <v>9500</v>
      </c>
      <c r="H396">
        <f t="shared" si="14"/>
        <v>6</v>
      </c>
      <c r="I396">
        <f t="shared" si="15"/>
        <v>2021</v>
      </c>
    </row>
    <row r="397" spans="1:9" x14ac:dyDescent="0.3">
      <c r="A397" s="1">
        <v>44368</v>
      </c>
      <c r="B397" t="s">
        <v>88</v>
      </c>
      <c r="G397">
        <v>26250</v>
      </c>
      <c r="H397">
        <f t="shared" si="14"/>
        <v>6</v>
      </c>
      <c r="I397">
        <f t="shared" si="15"/>
        <v>2021</v>
      </c>
    </row>
    <row r="398" spans="1:9" x14ac:dyDescent="0.3">
      <c r="A398" s="1">
        <v>44368</v>
      </c>
      <c r="B398" t="s">
        <v>88</v>
      </c>
      <c r="C398" t="s">
        <v>98</v>
      </c>
      <c r="D398" t="s">
        <v>52</v>
      </c>
      <c r="E398" t="s">
        <v>6</v>
      </c>
      <c r="F398">
        <v>26250</v>
      </c>
      <c r="H398">
        <f t="shared" si="14"/>
        <v>6</v>
      </c>
      <c r="I398">
        <f t="shared" si="15"/>
        <v>2021</v>
      </c>
    </row>
    <row r="399" spans="1:9" x14ac:dyDescent="0.3">
      <c r="A399" s="1">
        <v>44350</v>
      </c>
      <c r="B399" t="s">
        <v>234</v>
      </c>
      <c r="G399">
        <v>11250</v>
      </c>
      <c r="H399">
        <f t="shared" si="14"/>
        <v>6</v>
      </c>
      <c r="I399">
        <f t="shared" si="15"/>
        <v>2021</v>
      </c>
    </row>
    <row r="400" spans="1:9" x14ac:dyDescent="0.3">
      <c r="A400" s="1">
        <v>44350</v>
      </c>
      <c r="B400" t="s">
        <v>234</v>
      </c>
      <c r="C400" t="s">
        <v>94</v>
      </c>
      <c r="D400" t="s">
        <v>288</v>
      </c>
      <c r="E400" t="s">
        <v>186</v>
      </c>
      <c r="F400">
        <v>7600</v>
      </c>
      <c r="H400">
        <f t="shared" si="14"/>
        <v>6</v>
      </c>
      <c r="I400">
        <f t="shared" si="15"/>
        <v>2021</v>
      </c>
    </row>
    <row r="401" spans="1:9" x14ac:dyDescent="0.3">
      <c r="A401" s="1">
        <v>44350</v>
      </c>
      <c r="B401" t="s">
        <v>234</v>
      </c>
      <c r="C401" t="s">
        <v>293</v>
      </c>
      <c r="D401" t="s">
        <v>25</v>
      </c>
      <c r="E401" t="s">
        <v>214</v>
      </c>
      <c r="F401">
        <v>1075</v>
      </c>
      <c r="H401">
        <f t="shared" si="14"/>
        <v>6</v>
      </c>
      <c r="I401">
        <f t="shared" si="15"/>
        <v>2021</v>
      </c>
    </row>
    <row r="402" spans="1:9" x14ac:dyDescent="0.3">
      <c r="A402" s="1">
        <v>44350</v>
      </c>
      <c r="B402" t="s">
        <v>234</v>
      </c>
      <c r="C402" t="s">
        <v>294</v>
      </c>
      <c r="D402" t="s">
        <v>12</v>
      </c>
      <c r="E402" t="s">
        <v>156</v>
      </c>
      <c r="F402">
        <v>1000</v>
      </c>
      <c r="H402">
        <f t="shared" si="14"/>
        <v>6</v>
      </c>
      <c r="I402">
        <f t="shared" si="15"/>
        <v>2021</v>
      </c>
    </row>
    <row r="403" spans="1:9" x14ac:dyDescent="0.3">
      <c r="A403" s="1">
        <v>44350</v>
      </c>
      <c r="B403" t="s">
        <v>234</v>
      </c>
      <c r="C403" t="s">
        <v>98</v>
      </c>
      <c r="D403" t="s">
        <v>23</v>
      </c>
      <c r="E403" t="s">
        <v>6</v>
      </c>
      <c r="F403">
        <v>1575</v>
      </c>
      <c r="H403">
        <f t="shared" si="14"/>
        <v>6</v>
      </c>
      <c r="I403">
        <f t="shared" si="15"/>
        <v>2021</v>
      </c>
    </row>
    <row r="404" spans="1:9" x14ac:dyDescent="0.3">
      <c r="A404" s="1">
        <v>44361</v>
      </c>
      <c r="B404" t="s">
        <v>234</v>
      </c>
      <c r="G404">
        <v>12881</v>
      </c>
      <c r="H404">
        <f t="shared" si="14"/>
        <v>6</v>
      </c>
      <c r="I404">
        <f t="shared" si="15"/>
        <v>2021</v>
      </c>
    </row>
    <row r="405" spans="1:9" x14ac:dyDescent="0.3">
      <c r="A405" s="1">
        <v>44361</v>
      </c>
      <c r="B405" t="s">
        <v>234</v>
      </c>
      <c r="C405" t="s">
        <v>204</v>
      </c>
      <c r="D405" t="s">
        <v>23</v>
      </c>
      <c r="E405" t="s">
        <v>205</v>
      </c>
      <c r="F405">
        <v>2250</v>
      </c>
      <c r="H405">
        <f t="shared" si="14"/>
        <v>6</v>
      </c>
      <c r="I405">
        <f t="shared" si="15"/>
        <v>2021</v>
      </c>
    </row>
    <row r="406" spans="1:9" x14ac:dyDescent="0.3">
      <c r="A406" s="1">
        <v>44361</v>
      </c>
      <c r="B406" t="s">
        <v>234</v>
      </c>
      <c r="C406" t="s">
        <v>101</v>
      </c>
      <c r="D406" t="s">
        <v>12</v>
      </c>
      <c r="E406" t="s">
        <v>102</v>
      </c>
      <c r="F406">
        <v>960</v>
      </c>
      <c r="H406">
        <f t="shared" si="14"/>
        <v>6</v>
      </c>
      <c r="I406">
        <f t="shared" si="15"/>
        <v>2021</v>
      </c>
    </row>
    <row r="407" spans="1:9" x14ac:dyDescent="0.3">
      <c r="A407" s="1">
        <v>44361</v>
      </c>
      <c r="B407" t="s">
        <v>234</v>
      </c>
      <c r="C407" t="s">
        <v>142</v>
      </c>
      <c r="D407" t="s">
        <v>12</v>
      </c>
      <c r="E407" t="s">
        <v>156</v>
      </c>
      <c r="F407">
        <v>1000</v>
      </c>
      <c r="H407">
        <f t="shared" si="14"/>
        <v>6</v>
      </c>
      <c r="I407">
        <f t="shared" si="15"/>
        <v>2021</v>
      </c>
    </row>
    <row r="408" spans="1:9" x14ac:dyDescent="0.3">
      <c r="A408" s="1">
        <v>44361</v>
      </c>
      <c r="B408" t="s">
        <v>234</v>
      </c>
      <c r="C408" t="s">
        <v>293</v>
      </c>
      <c r="D408" t="s">
        <v>25</v>
      </c>
      <c r="E408" t="s">
        <v>214</v>
      </c>
      <c r="F408">
        <v>1075</v>
      </c>
      <c r="H408">
        <f t="shared" si="14"/>
        <v>6</v>
      </c>
      <c r="I408">
        <f t="shared" si="15"/>
        <v>2021</v>
      </c>
    </row>
    <row r="409" spans="1:9" x14ac:dyDescent="0.3">
      <c r="A409" s="1">
        <v>44361</v>
      </c>
      <c r="B409" t="s">
        <v>234</v>
      </c>
      <c r="C409" t="s">
        <v>40</v>
      </c>
      <c r="D409" t="s">
        <v>37</v>
      </c>
      <c r="E409" t="s">
        <v>104</v>
      </c>
      <c r="F409">
        <v>3300</v>
      </c>
      <c r="H409">
        <f t="shared" si="14"/>
        <v>6</v>
      </c>
      <c r="I409">
        <f t="shared" si="15"/>
        <v>2021</v>
      </c>
    </row>
    <row r="410" spans="1:9" x14ac:dyDescent="0.3">
      <c r="A410" s="1">
        <v>44361</v>
      </c>
      <c r="B410" t="s">
        <v>234</v>
      </c>
      <c r="C410" t="s">
        <v>38</v>
      </c>
      <c r="D410" t="s">
        <v>23</v>
      </c>
      <c r="E410" t="s">
        <v>62</v>
      </c>
      <c r="F410">
        <v>1026</v>
      </c>
      <c r="H410">
        <f t="shared" si="14"/>
        <v>6</v>
      </c>
      <c r="I410">
        <f t="shared" si="15"/>
        <v>2021</v>
      </c>
    </row>
    <row r="411" spans="1:9" x14ac:dyDescent="0.3">
      <c r="A411" s="1">
        <v>44361</v>
      </c>
      <c r="B411" t="s">
        <v>234</v>
      </c>
      <c r="C411" t="s">
        <v>148</v>
      </c>
      <c r="D411" t="s">
        <v>12</v>
      </c>
      <c r="E411" t="s">
        <v>177</v>
      </c>
      <c r="H411">
        <f t="shared" si="14"/>
        <v>6</v>
      </c>
      <c r="I411">
        <f t="shared" si="15"/>
        <v>2021</v>
      </c>
    </row>
    <row r="412" spans="1:9" x14ac:dyDescent="0.3">
      <c r="A412" s="1">
        <v>44361</v>
      </c>
      <c r="B412" t="s">
        <v>234</v>
      </c>
      <c r="C412" t="s">
        <v>44</v>
      </c>
      <c r="D412" t="s">
        <v>93</v>
      </c>
      <c r="E412" t="s">
        <v>43</v>
      </c>
      <c r="F412">
        <v>1560</v>
      </c>
      <c r="H412">
        <f t="shared" si="14"/>
        <v>6</v>
      </c>
      <c r="I412">
        <f t="shared" si="15"/>
        <v>2021</v>
      </c>
    </row>
    <row r="413" spans="1:9" x14ac:dyDescent="0.3">
      <c r="A413" s="1">
        <v>44361</v>
      </c>
      <c r="B413" t="s">
        <v>234</v>
      </c>
      <c r="C413" t="s">
        <v>94</v>
      </c>
      <c r="D413" t="s">
        <v>179</v>
      </c>
      <c r="E413" t="s">
        <v>186</v>
      </c>
      <c r="F413">
        <v>1710</v>
      </c>
      <c r="H413">
        <f t="shared" si="14"/>
        <v>6</v>
      </c>
      <c r="I413">
        <f t="shared" si="15"/>
        <v>2021</v>
      </c>
    </row>
    <row r="414" spans="1:9" x14ac:dyDescent="0.3">
      <c r="A414" s="1">
        <v>44368</v>
      </c>
      <c r="B414" t="s">
        <v>234</v>
      </c>
      <c r="G414">
        <v>28844</v>
      </c>
      <c r="H414">
        <f t="shared" si="14"/>
        <v>6</v>
      </c>
      <c r="I414">
        <f t="shared" si="15"/>
        <v>2021</v>
      </c>
    </row>
    <row r="415" spans="1:9" x14ac:dyDescent="0.3">
      <c r="A415" s="1">
        <v>44368</v>
      </c>
      <c r="B415" t="s">
        <v>234</v>
      </c>
      <c r="C415" t="s">
        <v>94</v>
      </c>
      <c r="D415" t="s">
        <v>288</v>
      </c>
      <c r="E415" t="s">
        <v>186</v>
      </c>
      <c r="F415">
        <v>7600</v>
      </c>
      <c r="H415">
        <f t="shared" si="14"/>
        <v>6</v>
      </c>
      <c r="I415">
        <f t="shared" si="15"/>
        <v>2021</v>
      </c>
    </row>
    <row r="416" spans="1:9" x14ac:dyDescent="0.3">
      <c r="A416" s="1">
        <v>44368</v>
      </c>
      <c r="B416" t="s">
        <v>234</v>
      </c>
      <c r="C416" t="s">
        <v>293</v>
      </c>
      <c r="D416" t="s">
        <v>9</v>
      </c>
      <c r="E416" t="s">
        <v>214</v>
      </c>
      <c r="F416">
        <v>4300</v>
      </c>
      <c r="H416">
        <f t="shared" si="14"/>
        <v>6</v>
      </c>
      <c r="I416">
        <f t="shared" si="15"/>
        <v>2021</v>
      </c>
    </row>
    <row r="417" spans="1:9" x14ac:dyDescent="0.3">
      <c r="A417" s="1">
        <v>44368</v>
      </c>
      <c r="B417" t="s">
        <v>234</v>
      </c>
      <c r="C417" t="s">
        <v>293</v>
      </c>
      <c r="D417" t="s">
        <v>37</v>
      </c>
      <c r="E417" t="s">
        <v>214</v>
      </c>
      <c r="F417">
        <v>2150</v>
      </c>
      <c r="H417">
        <f t="shared" si="14"/>
        <v>6</v>
      </c>
      <c r="I417">
        <f t="shared" si="15"/>
        <v>2021</v>
      </c>
    </row>
    <row r="418" spans="1:9" x14ac:dyDescent="0.3">
      <c r="A418" s="1">
        <v>44368</v>
      </c>
      <c r="B418" t="s">
        <v>234</v>
      </c>
      <c r="C418" t="s">
        <v>40</v>
      </c>
      <c r="D418" t="s">
        <v>37</v>
      </c>
      <c r="E418" t="s">
        <v>104</v>
      </c>
      <c r="F418">
        <v>3300</v>
      </c>
      <c r="H418">
        <f t="shared" si="14"/>
        <v>6</v>
      </c>
      <c r="I418">
        <f t="shared" si="15"/>
        <v>2021</v>
      </c>
    </row>
    <row r="419" spans="1:9" x14ac:dyDescent="0.3">
      <c r="A419" s="1">
        <v>44368</v>
      </c>
      <c r="B419" t="s">
        <v>234</v>
      </c>
      <c r="C419" t="s">
        <v>111</v>
      </c>
      <c r="D419" t="s">
        <v>23</v>
      </c>
      <c r="E419" t="s">
        <v>119</v>
      </c>
      <c r="F419">
        <v>900</v>
      </c>
      <c r="H419">
        <f t="shared" si="14"/>
        <v>6</v>
      </c>
      <c r="I419">
        <f t="shared" si="15"/>
        <v>2021</v>
      </c>
    </row>
    <row r="420" spans="1:9" x14ac:dyDescent="0.3">
      <c r="A420" s="1">
        <v>44368</v>
      </c>
      <c r="B420" t="s">
        <v>234</v>
      </c>
      <c r="C420" t="s">
        <v>38</v>
      </c>
      <c r="D420" t="s">
        <v>30</v>
      </c>
      <c r="E420" t="s">
        <v>62</v>
      </c>
      <c r="F420">
        <v>2394</v>
      </c>
      <c r="H420">
        <f t="shared" si="14"/>
        <v>6</v>
      </c>
      <c r="I420">
        <f t="shared" si="15"/>
        <v>2021</v>
      </c>
    </row>
    <row r="421" spans="1:9" x14ac:dyDescent="0.3">
      <c r="A421" s="1">
        <v>44368</v>
      </c>
      <c r="B421" t="s">
        <v>234</v>
      </c>
      <c r="C421" t="s">
        <v>294</v>
      </c>
      <c r="D421" t="s">
        <v>93</v>
      </c>
      <c r="E421" t="s">
        <v>156</v>
      </c>
      <c r="F421">
        <v>2000</v>
      </c>
      <c r="H421">
        <f t="shared" si="14"/>
        <v>6</v>
      </c>
      <c r="I421">
        <f t="shared" si="15"/>
        <v>2021</v>
      </c>
    </row>
    <row r="422" spans="1:9" x14ac:dyDescent="0.3">
      <c r="A422" s="1">
        <v>44368</v>
      </c>
      <c r="B422" t="s">
        <v>234</v>
      </c>
      <c r="C422" t="s">
        <v>98</v>
      </c>
      <c r="D422" t="s">
        <v>93</v>
      </c>
      <c r="E422" t="s">
        <v>6</v>
      </c>
      <c r="F422">
        <v>2100</v>
      </c>
      <c r="H422">
        <f t="shared" si="14"/>
        <v>6</v>
      </c>
      <c r="I422">
        <f t="shared" si="15"/>
        <v>2021</v>
      </c>
    </row>
    <row r="423" spans="1:9" x14ac:dyDescent="0.3">
      <c r="A423" s="1">
        <v>44368</v>
      </c>
      <c r="B423" t="s">
        <v>234</v>
      </c>
      <c r="C423" t="s">
        <v>108</v>
      </c>
      <c r="D423" t="s">
        <v>12</v>
      </c>
      <c r="E423" t="s">
        <v>99</v>
      </c>
      <c r="F423">
        <v>1080</v>
      </c>
      <c r="H423">
        <f t="shared" si="14"/>
        <v>6</v>
      </c>
      <c r="I423">
        <f t="shared" si="15"/>
        <v>2021</v>
      </c>
    </row>
    <row r="424" spans="1:9" x14ac:dyDescent="0.3">
      <c r="A424" s="1">
        <v>44368</v>
      </c>
      <c r="B424" t="s">
        <v>234</v>
      </c>
      <c r="C424" t="s">
        <v>307</v>
      </c>
      <c r="D424" t="s">
        <v>5</v>
      </c>
      <c r="E424" t="s">
        <v>99</v>
      </c>
      <c r="F424">
        <v>540</v>
      </c>
      <c r="H424">
        <f t="shared" si="14"/>
        <v>6</v>
      </c>
      <c r="I424">
        <f t="shared" si="15"/>
        <v>2021</v>
      </c>
    </row>
    <row r="425" spans="1:9" x14ac:dyDescent="0.3">
      <c r="A425" s="1">
        <v>44368</v>
      </c>
      <c r="B425" t="s">
        <v>234</v>
      </c>
      <c r="C425" t="s">
        <v>123</v>
      </c>
      <c r="D425" t="s">
        <v>12</v>
      </c>
      <c r="E425" t="s">
        <v>124</v>
      </c>
      <c r="F425">
        <v>1480</v>
      </c>
      <c r="H425">
        <f t="shared" si="14"/>
        <v>6</v>
      </c>
      <c r="I425">
        <f t="shared" si="15"/>
        <v>2021</v>
      </c>
    </row>
    <row r="426" spans="1:9" x14ac:dyDescent="0.3">
      <c r="A426" s="1">
        <v>44368</v>
      </c>
      <c r="B426" t="s">
        <v>234</v>
      </c>
      <c r="C426" t="s">
        <v>142</v>
      </c>
      <c r="D426" t="s">
        <v>12</v>
      </c>
      <c r="E426" t="s">
        <v>156</v>
      </c>
      <c r="F426">
        <v>1000</v>
      </c>
      <c r="H426">
        <f t="shared" si="14"/>
        <v>6</v>
      </c>
      <c r="I426">
        <f t="shared" si="15"/>
        <v>2021</v>
      </c>
    </row>
    <row r="427" spans="1:9" x14ac:dyDescent="0.3">
      <c r="A427" s="1">
        <v>44352</v>
      </c>
      <c r="B427" t="s">
        <v>298</v>
      </c>
      <c r="H427">
        <f t="shared" si="14"/>
        <v>6</v>
      </c>
      <c r="I427">
        <f t="shared" si="15"/>
        <v>2021</v>
      </c>
    </row>
    <row r="428" spans="1:9" x14ac:dyDescent="0.3">
      <c r="A428" s="1">
        <v>44354</v>
      </c>
      <c r="B428" t="s">
        <v>8</v>
      </c>
      <c r="G428">
        <v>6600</v>
      </c>
      <c r="H428">
        <f t="shared" si="14"/>
        <v>6</v>
      </c>
      <c r="I428">
        <f t="shared" si="15"/>
        <v>2021</v>
      </c>
    </row>
    <row r="429" spans="1:9" x14ac:dyDescent="0.3">
      <c r="A429" s="1">
        <v>44354</v>
      </c>
      <c r="B429" t="s">
        <v>8</v>
      </c>
      <c r="C429" t="s">
        <v>40</v>
      </c>
      <c r="D429" t="s">
        <v>9</v>
      </c>
      <c r="E429" t="s">
        <v>104</v>
      </c>
      <c r="F429">
        <v>6600</v>
      </c>
      <c r="H429">
        <f t="shared" si="14"/>
        <v>6</v>
      </c>
      <c r="I429">
        <f t="shared" si="15"/>
        <v>2021</v>
      </c>
    </row>
    <row r="430" spans="1:9" x14ac:dyDescent="0.3">
      <c r="A430" s="1">
        <v>44354</v>
      </c>
      <c r="B430" t="s">
        <v>8</v>
      </c>
      <c r="G430">
        <v>1725</v>
      </c>
      <c r="H430">
        <f t="shared" si="14"/>
        <v>6</v>
      </c>
      <c r="I430">
        <f t="shared" si="15"/>
        <v>2021</v>
      </c>
    </row>
    <row r="431" spans="1:9" x14ac:dyDescent="0.3">
      <c r="A431" s="1">
        <v>44354</v>
      </c>
      <c r="B431" t="s">
        <v>8</v>
      </c>
      <c r="C431" t="s">
        <v>194</v>
      </c>
      <c r="D431">
        <v>162</v>
      </c>
      <c r="F431">
        <v>1725</v>
      </c>
      <c r="H431">
        <f t="shared" si="14"/>
        <v>6</v>
      </c>
      <c r="I431">
        <f t="shared" si="15"/>
        <v>2021</v>
      </c>
    </row>
    <row r="432" spans="1:9" x14ac:dyDescent="0.3">
      <c r="A432" s="1">
        <v>44354</v>
      </c>
      <c r="B432" t="s">
        <v>8</v>
      </c>
      <c r="C432" t="s">
        <v>38</v>
      </c>
      <c r="D432" t="s">
        <v>25</v>
      </c>
      <c r="E432" t="s">
        <v>13</v>
      </c>
      <c r="F432">
        <v>1725</v>
      </c>
      <c r="H432">
        <f t="shared" si="14"/>
        <v>6</v>
      </c>
      <c r="I432">
        <f t="shared" si="15"/>
        <v>2021</v>
      </c>
    </row>
    <row r="433" spans="1:9" x14ac:dyDescent="0.3">
      <c r="A433" s="1">
        <v>44360</v>
      </c>
      <c r="B433" t="s">
        <v>8</v>
      </c>
      <c r="G433">
        <v>10050</v>
      </c>
      <c r="H433">
        <f t="shared" si="14"/>
        <v>6</v>
      </c>
      <c r="I433">
        <f t="shared" si="15"/>
        <v>2021</v>
      </c>
    </row>
    <row r="434" spans="1:9" x14ac:dyDescent="0.3">
      <c r="A434" s="1">
        <v>44360</v>
      </c>
      <c r="B434" t="s">
        <v>8</v>
      </c>
      <c r="C434" t="s">
        <v>40</v>
      </c>
      <c r="D434" t="s">
        <v>9</v>
      </c>
      <c r="E434" t="s">
        <v>104</v>
      </c>
      <c r="F434">
        <v>6600</v>
      </c>
      <c r="H434">
        <f t="shared" si="14"/>
        <v>6</v>
      </c>
      <c r="I434">
        <f t="shared" si="15"/>
        <v>2021</v>
      </c>
    </row>
    <row r="435" spans="1:9" x14ac:dyDescent="0.3">
      <c r="A435" s="1">
        <v>44360</v>
      </c>
      <c r="B435" t="s">
        <v>8</v>
      </c>
      <c r="C435" t="s">
        <v>38</v>
      </c>
      <c r="D435" t="s">
        <v>37</v>
      </c>
      <c r="E435" t="s">
        <v>13</v>
      </c>
      <c r="F435">
        <v>3450</v>
      </c>
      <c r="H435">
        <f t="shared" si="14"/>
        <v>6</v>
      </c>
      <c r="I435">
        <f t="shared" si="15"/>
        <v>2021</v>
      </c>
    </row>
    <row r="436" spans="1:9" x14ac:dyDescent="0.3">
      <c r="A436" s="1">
        <v>44365</v>
      </c>
      <c r="B436" t="s">
        <v>8</v>
      </c>
      <c r="G436">
        <v>3450</v>
      </c>
      <c r="H436">
        <f t="shared" si="14"/>
        <v>6</v>
      </c>
      <c r="I436">
        <f t="shared" si="15"/>
        <v>2021</v>
      </c>
    </row>
    <row r="437" spans="1:9" x14ac:dyDescent="0.3">
      <c r="A437" s="1">
        <v>44365</v>
      </c>
      <c r="B437" t="s">
        <v>8</v>
      </c>
      <c r="C437" t="s">
        <v>38</v>
      </c>
      <c r="D437" t="s">
        <v>37</v>
      </c>
      <c r="E437" t="s">
        <v>13</v>
      </c>
      <c r="F437">
        <v>3450</v>
      </c>
      <c r="H437">
        <f t="shared" si="14"/>
        <v>6</v>
      </c>
      <c r="I437">
        <f t="shared" si="15"/>
        <v>2021</v>
      </c>
    </row>
    <row r="438" spans="1:9" x14ac:dyDescent="0.3">
      <c r="A438" s="1">
        <v>44368</v>
      </c>
      <c r="B438" t="s">
        <v>8</v>
      </c>
      <c r="G438">
        <v>33000</v>
      </c>
      <c r="H438">
        <f t="shared" si="14"/>
        <v>6</v>
      </c>
      <c r="I438">
        <f t="shared" si="15"/>
        <v>2021</v>
      </c>
    </row>
    <row r="439" spans="1:9" x14ac:dyDescent="0.3">
      <c r="A439" s="1">
        <v>44368</v>
      </c>
      <c r="B439" t="s">
        <v>8</v>
      </c>
      <c r="C439" t="s">
        <v>40</v>
      </c>
      <c r="D439" t="s">
        <v>65</v>
      </c>
      <c r="E439" t="s">
        <v>104</v>
      </c>
      <c r="F439">
        <v>33000</v>
      </c>
      <c r="H439">
        <f t="shared" si="14"/>
        <v>6</v>
      </c>
      <c r="I439">
        <f t="shared" si="15"/>
        <v>2021</v>
      </c>
    </row>
    <row r="440" spans="1:9" x14ac:dyDescent="0.3">
      <c r="A440" s="1">
        <v>44377</v>
      </c>
      <c r="B440" t="s">
        <v>8</v>
      </c>
      <c r="G440">
        <v>1035</v>
      </c>
      <c r="H440">
        <f t="shared" si="14"/>
        <v>6</v>
      </c>
      <c r="I440">
        <f t="shared" si="15"/>
        <v>2021</v>
      </c>
    </row>
    <row r="441" spans="1:9" x14ac:dyDescent="0.3">
      <c r="A441" s="1">
        <v>44377</v>
      </c>
      <c r="B441" t="s">
        <v>8</v>
      </c>
      <c r="C441" t="s">
        <v>38</v>
      </c>
      <c r="D441" t="s">
        <v>5</v>
      </c>
      <c r="E441" t="s">
        <v>13</v>
      </c>
      <c r="F441">
        <v>345</v>
      </c>
      <c r="H441">
        <f t="shared" si="14"/>
        <v>6</v>
      </c>
      <c r="I441">
        <f t="shared" si="15"/>
        <v>2021</v>
      </c>
    </row>
    <row r="442" spans="1:9" x14ac:dyDescent="0.3">
      <c r="A442" s="1">
        <v>44377</v>
      </c>
      <c r="B442" t="s">
        <v>8</v>
      </c>
      <c r="C442" t="s">
        <v>11</v>
      </c>
      <c r="D442" t="s">
        <v>12</v>
      </c>
      <c r="E442" t="s">
        <v>13</v>
      </c>
      <c r="F442">
        <v>690</v>
      </c>
      <c r="H442">
        <f t="shared" si="14"/>
        <v>6</v>
      </c>
      <c r="I442">
        <f t="shared" si="15"/>
        <v>2021</v>
      </c>
    </row>
    <row r="443" spans="1:9" x14ac:dyDescent="0.3">
      <c r="A443" s="1">
        <v>44351</v>
      </c>
      <c r="B443" t="s">
        <v>82</v>
      </c>
      <c r="G443">
        <v>3800</v>
      </c>
      <c r="H443">
        <f t="shared" si="14"/>
        <v>6</v>
      </c>
      <c r="I443">
        <f t="shared" si="15"/>
        <v>2021</v>
      </c>
    </row>
    <row r="444" spans="1:9" x14ac:dyDescent="0.3">
      <c r="A444" s="1">
        <v>44351</v>
      </c>
      <c r="B444" t="s">
        <v>82</v>
      </c>
      <c r="C444" t="s">
        <v>94</v>
      </c>
      <c r="D444" t="s">
        <v>251</v>
      </c>
      <c r="E444" t="s">
        <v>186</v>
      </c>
      <c r="F444">
        <v>3800</v>
      </c>
      <c r="H444">
        <f t="shared" si="14"/>
        <v>6</v>
      </c>
      <c r="I444">
        <f t="shared" si="15"/>
        <v>2021</v>
      </c>
    </row>
    <row r="445" spans="1:9" x14ac:dyDescent="0.3">
      <c r="A445" s="1">
        <v>44354</v>
      </c>
      <c r="B445" t="s">
        <v>82</v>
      </c>
      <c r="G445">
        <v>3800</v>
      </c>
      <c r="H445">
        <f t="shared" si="14"/>
        <v>6</v>
      </c>
      <c r="I445">
        <f t="shared" si="15"/>
        <v>2021</v>
      </c>
    </row>
    <row r="446" spans="1:9" x14ac:dyDescent="0.3">
      <c r="A446" s="1">
        <v>44354</v>
      </c>
      <c r="B446" t="s">
        <v>82</v>
      </c>
      <c r="C446" t="s">
        <v>94</v>
      </c>
      <c r="D446" t="s">
        <v>251</v>
      </c>
      <c r="E446" t="s">
        <v>186</v>
      </c>
      <c r="F446">
        <v>3800</v>
      </c>
      <c r="H446">
        <f t="shared" si="14"/>
        <v>6</v>
      </c>
      <c r="I446">
        <f t="shared" si="15"/>
        <v>2021</v>
      </c>
    </row>
    <row r="447" spans="1:9" x14ac:dyDescent="0.3">
      <c r="A447" s="1">
        <v>44357</v>
      </c>
      <c r="B447" t="s">
        <v>82</v>
      </c>
      <c r="G447">
        <v>6600</v>
      </c>
      <c r="H447">
        <f t="shared" si="14"/>
        <v>6</v>
      </c>
      <c r="I447">
        <f t="shared" si="15"/>
        <v>2021</v>
      </c>
    </row>
    <row r="448" spans="1:9" x14ac:dyDescent="0.3">
      <c r="A448" s="1">
        <v>44357</v>
      </c>
      <c r="B448" t="s">
        <v>82</v>
      </c>
      <c r="C448" t="s">
        <v>40</v>
      </c>
      <c r="D448" t="s">
        <v>9</v>
      </c>
      <c r="E448" t="s">
        <v>104</v>
      </c>
      <c r="F448">
        <v>6600</v>
      </c>
      <c r="H448">
        <f t="shared" si="14"/>
        <v>6</v>
      </c>
      <c r="I448">
        <f t="shared" si="15"/>
        <v>2021</v>
      </c>
    </row>
    <row r="449" spans="1:9" x14ac:dyDescent="0.3">
      <c r="A449" s="1">
        <v>44362</v>
      </c>
      <c r="B449" t="s">
        <v>82</v>
      </c>
      <c r="G449">
        <v>4480</v>
      </c>
      <c r="H449">
        <f t="shared" si="14"/>
        <v>6</v>
      </c>
      <c r="I449">
        <f t="shared" si="15"/>
        <v>2021</v>
      </c>
    </row>
    <row r="450" spans="1:9" x14ac:dyDescent="0.3">
      <c r="A450" s="1">
        <v>44362</v>
      </c>
      <c r="B450" t="s">
        <v>82</v>
      </c>
      <c r="C450" t="s">
        <v>68</v>
      </c>
      <c r="D450" t="s">
        <v>59</v>
      </c>
      <c r="E450" t="s">
        <v>122</v>
      </c>
      <c r="F450">
        <v>4480</v>
      </c>
      <c r="H450">
        <f t="shared" si="14"/>
        <v>6</v>
      </c>
      <c r="I450">
        <f t="shared" si="15"/>
        <v>2021</v>
      </c>
    </row>
    <row r="451" spans="1:9" x14ac:dyDescent="0.3">
      <c r="A451" s="1">
        <v>44377</v>
      </c>
      <c r="B451" t="s">
        <v>97</v>
      </c>
      <c r="G451">
        <v>3470</v>
      </c>
      <c r="H451">
        <f t="shared" si="14"/>
        <v>6</v>
      </c>
      <c r="I451">
        <f t="shared" si="15"/>
        <v>2021</v>
      </c>
    </row>
    <row r="452" spans="1:9" x14ac:dyDescent="0.3">
      <c r="A452" s="1">
        <v>44377</v>
      </c>
      <c r="B452" t="s">
        <v>97</v>
      </c>
      <c r="C452" t="s">
        <v>98</v>
      </c>
      <c r="D452" t="s">
        <v>25</v>
      </c>
      <c r="E452" t="s">
        <v>99</v>
      </c>
      <c r="F452">
        <v>2700</v>
      </c>
      <c r="H452">
        <f t="shared" si="14"/>
        <v>6</v>
      </c>
      <c r="I452">
        <f t="shared" si="15"/>
        <v>2021</v>
      </c>
    </row>
    <row r="453" spans="1:9" x14ac:dyDescent="0.3">
      <c r="A453" s="1">
        <v>44377</v>
      </c>
      <c r="B453" t="s">
        <v>97</v>
      </c>
      <c r="C453" t="s">
        <v>307</v>
      </c>
      <c r="D453" t="s">
        <v>5</v>
      </c>
      <c r="E453" t="s">
        <v>69</v>
      </c>
      <c r="F453">
        <v>550</v>
      </c>
      <c r="H453">
        <f t="shared" si="14"/>
        <v>6</v>
      </c>
      <c r="I453">
        <f t="shared" si="15"/>
        <v>2021</v>
      </c>
    </row>
    <row r="454" spans="1:9" x14ac:dyDescent="0.3">
      <c r="A454" s="1">
        <v>44377</v>
      </c>
      <c r="B454" t="s">
        <v>97</v>
      </c>
      <c r="C454" t="s">
        <v>293</v>
      </c>
      <c r="D454" t="s">
        <v>5</v>
      </c>
      <c r="E454" t="s">
        <v>258</v>
      </c>
      <c r="F454">
        <v>220</v>
      </c>
      <c r="H454">
        <f t="shared" si="14"/>
        <v>6</v>
      </c>
      <c r="I454">
        <f t="shared" si="15"/>
        <v>2021</v>
      </c>
    </row>
    <row r="455" spans="1:9" x14ac:dyDescent="0.3">
      <c r="A455" s="1">
        <v>44362</v>
      </c>
      <c r="B455" t="s">
        <v>141</v>
      </c>
      <c r="G455">
        <v>2228</v>
      </c>
      <c r="H455">
        <f t="shared" si="14"/>
        <v>6</v>
      </c>
      <c r="I455">
        <f t="shared" si="15"/>
        <v>2021</v>
      </c>
    </row>
    <row r="456" spans="1:9" x14ac:dyDescent="0.3">
      <c r="A456" s="1">
        <v>44362</v>
      </c>
      <c r="B456" t="s">
        <v>141</v>
      </c>
      <c r="C456" t="s">
        <v>165</v>
      </c>
      <c r="D456" t="s">
        <v>59</v>
      </c>
      <c r="E456" t="s">
        <v>166</v>
      </c>
      <c r="F456">
        <v>1728</v>
      </c>
      <c r="H456">
        <f t="shared" si="14"/>
        <v>6</v>
      </c>
      <c r="I456">
        <f t="shared" si="15"/>
        <v>2021</v>
      </c>
    </row>
    <row r="457" spans="1:9" x14ac:dyDescent="0.3">
      <c r="A457" s="1">
        <v>44362</v>
      </c>
      <c r="B457" t="s">
        <v>141</v>
      </c>
      <c r="C457" t="s">
        <v>235</v>
      </c>
      <c r="D457" t="s">
        <v>12</v>
      </c>
      <c r="E457" t="s">
        <v>105</v>
      </c>
      <c r="F457">
        <v>500</v>
      </c>
      <c r="H457">
        <f t="shared" si="14"/>
        <v>6</v>
      </c>
      <c r="I457">
        <f t="shared" si="15"/>
        <v>2021</v>
      </c>
    </row>
    <row r="458" spans="1:9" x14ac:dyDescent="0.3">
      <c r="A458" s="1">
        <v>44370</v>
      </c>
      <c r="B458" t="s">
        <v>308</v>
      </c>
      <c r="G458">
        <v>8280</v>
      </c>
      <c r="H458">
        <f t="shared" si="14"/>
        <v>6</v>
      </c>
      <c r="I458">
        <f t="shared" si="15"/>
        <v>2021</v>
      </c>
    </row>
    <row r="459" spans="1:9" x14ac:dyDescent="0.3">
      <c r="A459" s="1">
        <v>44370</v>
      </c>
      <c r="B459" t="s">
        <v>308</v>
      </c>
      <c r="C459" t="s">
        <v>197</v>
      </c>
      <c r="F459">
        <v>8280</v>
      </c>
      <c r="H459">
        <f t="shared" ref="H459:H522" si="16">MONTH(A459)</f>
        <v>6</v>
      </c>
      <c r="I459">
        <f t="shared" ref="I459:I522" si="17">YEAR(A459)</f>
        <v>2021</v>
      </c>
    </row>
    <row r="460" spans="1:9" x14ac:dyDescent="0.3">
      <c r="A460" s="1">
        <v>44370</v>
      </c>
      <c r="B460" t="s">
        <v>308</v>
      </c>
      <c r="C460" t="s">
        <v>246</v>
      </c>
      <c r="D460" t="s">
        <v>23</v>
      </c>
      <c r="E460" t="s">
        <v>205</v>
      </c>
      <c r="F460">
        <v>2250</v>
      </c>
      <c r="H460">
        <f t="shared" si="16"/>
        <v>6</v>
      </c>
      <c r="I460">
        <f t="shared" si="17"/>
        <v>2021</v>
      </c>
    </row>
    <row r="461" spans="1:9" x14ac:dyDescent="0.3">
      <c r="A461" s="1">
        <v>44370</v>
      </c>
      <c r="B461" t="s">
        <v>308</v>
      </c>
      <c r="C461" t="s">
        <v>307</v>
      </c>
      <c r="D461" t="s">
        <v>5</v>
      </c>
      <c r="E461" t="s">
        <v>164</v>
      </c>
      <c r="F461">
        <v>545</v>
      </c>
      <c r="H461">
        <f t="shared" si="16"/>
        <v>6</v>
      </c>
      <c r="I461">
        <f t="shared" si="17"/>
        <v>2021</v>
      </c>
    </row>
    <row r="462" spans="1:9" x14ac:dyDescent="0.3">
      <c r="A462" s="1">
        <v>44370</v>
      </c>
      <c r="B462" t="s">
        <v>308</v>
      </c>
      <c r="C462" t="s">
        <v>134</v>
      </c>
      <c r="D462" t="s">
        <v>5</v>
      </c>
      <c r="E462" t="s">
        <v>164</v>
      </c>
      <c r="F462">
        <v>545</v>
      </c>
      <c r="H462">
        <f t="shared" si="16"/>
        <v>6</v>
      </c>
      <c r="I462">
        <f t="shared" si="17"/>
        <v>2021</v>
      </c>
    </row>
    <row r="463" spans="1:9" x14ac:dyDescent="0.3">
      <c r="A463" s="1">
        <v>44370</v>
      </c>
      <c r="B463" t="s">
        <v>308</v>
      </c>
      <c r="C463" t="s">
        <v>140</v>
      </c>
      <c r="D463" t="s">
        <v>5</v>
      </c>
      <c r="E463" t="s">
        <v>229</v>
      </c>
      <c r="F463">
        <v>645</v>
      </c>
      <c r="H463">
        <f t="shared" si="16"/>
        <v>6</v>
      </c>
      <c r="I463">
        <f t="shared" si="17"/>
        <v>2021</v>
      </c>
    </row>
    <row r="464" spans="1:9" x14ac:dyDescent="0.3">
      <c r="A464" s="1">
        <v>44370</v>
      </c>
      <c r="B464" t="s">
        <v>308</v>
      </c>
      <c r="C464" t="s">
        <v>133</v>
      </c>
      <c r="D464" t="s">
        <v>5</v>
      </c>
      <c r="E464" t="s">
        <v>164</v>
      </c>
      <c r="F464">
        <v>545</v>
      </c>
      <c r="H464">
        <f t="shared" si="16"/>
        <v>6</v>
      </c>
      <c r="I464">
        <f t="shared" si="17"/>
        <v>2021</v>
      </c>
    </row>
    <row r="465" spans="1:9" x14ac:dyDescent="0.3">
      <c r="A465" s="1">
        <v>44370</v>
      </c>
      <c r="B465" t="s">
        <v>308</v>
      </c>
      <c r="C465" t="s">
        <v>116</v>
      </c>
      <c r="D465" t="s">
        <v>5</v>
      </c>
      <c r="E465" t="s">
        <v>229</v>
      </c>
      <c r="F465">
        <v>645</v>
      </c>
      <c r="H465">
        <f t="shared" si="16"/>
        <v>6</v>
      </c>
      <c r="I465">
        <f t="shared" si="17"/>
        <v>2021</v>
      </c>
    </row>
    <row r="466" spans="1:9" x14ac:dyDescent="0.3">
      <c r="A466" s="1">
        <v>44370</v>
      </c>
      <c r="B466" t="s">
        <v>308</v>
      </c>
      <c r="C466" t="s">
        <v>40</v>
      </c>
      <c r="D466" t="s">
        <v>12</v>
      </c>
      <c r="E466" t="s">
        <v>117</v>
      </c>
      <c r="F466">
        <v>670</v>
      </c>
      <c r="H466">
        <f t="shared" si="16"/>
        <v>6</v>
      </c>
      <c r="I466">
        <f t="shared" si="17"/>
        <v>2021</v>
      </c>
    </row>
    <row r="467" spans="1:9" x14ac:dyDescent="0.3">
      <c r="A467" s="1">
        <v>44370</v>
      </c>
      <c r="B467" t="s">
        <v>308</v>
      </c>
      <c r="C467" t="s">
        <v>11</v>
      </c>
      <c r="D467" t="s">
        <v>12</v>
      </c>
      <c r="E467" t="s">
        <v>13</v>
      </c>
      <c r="F467">
        <v>690</v>
      </c>
      <c r="H467">
        <f t="shared" si="16"/>
        <v>6</v>
      </c>
      <c r="I467">
        <f t="shared" si="17"/>
        <v>2021</v>
      </c>
    </row>
    <row r="468" spans="1:9" x14ac:dyDescent="0.3">
      <c r="A468" s="1">
        <v>44370</v>
      </c>
      <c r="B468" t="s">
        <v>308</v>
      </c>
      <c r="C468" t="s">
        <v>94</v>
      </c>
      <c r="D468" t="s">
        <v>137</v>
      </c>
      <c r="E468" t="s">
        <v>132</v>
      </c>
      <c r="F468">
        <v>400</v>
      </c>
      <c r="H468">
        <f t="shared" si="16"/>
        <v>6</v>
      </c>
      <c r="I468">
        <f t="shared" si="17"/>
        <v>2021</v>
      </c>
    </row>
    <row r="469" spans="1:9" x14ac:dyDescent="0.3">
      <c r="A469" s="1">
        <v>44370</v>
      </c>
      <c r="B469" t="s">
        <v>308</v>
      </c>
      <c r="C469" t="s">
        <v>123</v>
      </c>
      <c r="D469" t="s">
        <v>5</v>
      </c>
      <c r="E469" t="s">
        <v>178</v>
      </c>
      <c r="F469">
        <v>800</v>
      </c>
      <c r="H469">
        <f t="shared" si="16"/>
        <v>6</v>
      </c>
      <c r="I469">
        <f t="shared" si="17"/>
        <v>2021</v>
      </c>
    </row>
    <row r="470" spans="1:9" x14ac:dyDescent="0.3">
      <c r="A470" s="1">
        <v>44370</v>
      </c>
      <c r="B470" t="s">
        <v>308</v>
      </c>
      <c r="C470" t="s">
        <v>187</v>
      </c>
      <c r="D470" t="s">
        <v>5</v>
      </c>
      <c r="E470" t="s">
        <v>164</v>
      </c>
      <c r="F470">
        <v>545</v>
      </c>
      <c r="H470">
        <f t="shared" si="16"/>
        <v>6</v>
      </c>
      <c r="I470">
        <f t="shared" si="17"/>
        <v>2021</v>
      </c>
    </row>
    <row r="471" spans="1:9" x14ac:dyDescent="0.3">
      <c r="A471" s="1">
        <v>44370</v>
      </c>
      <c r="B471" t="s">
        <v>308</v>
      </c>
      <c r="C471" t="s">
        <v>148</v>
      </c>
      <c r="D471" t="s">
        <v>12</v>
      </c>
      <c r="E471" t="s">
        <v>149</v>
      </c>
      <c r="H471">
        <f t="shared" si="16"/>
        <v>6</v>
      </c>
      <c r="I471">
        <f t="shared" si="17"/>
        <v>2021</v>
      </c>
    </row>
    <row r="472" spans="1:9" x14ac:dyDescent="0.3">
      <c r="A472" s="1">
        <v>44370</v>
      </c>
      <c r="B472" t="s">
        <v>308</v>
      </c>
      <c r="G472">
        <v>2810</v>
      </c>
      <c r="H472">
        <f t="shared" si="16"/>
        <v>6</v>
      </c>
      <c r="I472">
        <f t="shared" si="17"/>
        <v>2021</v>
      </c>
    </row>
    <row r="473" spans="1:9" x14ac:dyDescent="0.3">
      <c r="A473" s="1">
        <v>44370</v>
      </c>
      <c r="B473" t="s">
        <v>308</v>
      </c>
      <c r="C473" t="s">
        <v>197</v>
      </c>
      <c r="F473">
        <v>2810</v>
      </c>
      <c r="H473">
        <f t="shared" si="16"/>
        <v>6</v>
      </c>
      <c r="I473">
        <f t="shared" si="17"/>
        <v>2021</v>
      </c>
    </row>
    <row r="474" spans="1:9" x14ac:dyDescent="0.3">
      <c r="A474" s="1">
        <v>44370</v>
      </c>
      <c r="B474" t="s">
        <v>308</v>
      </c>
      <c r="C474" t="s">
        <v>136</v>
      </c>
      <c r="D474" t="s">
        <v>12</v>
      </c>
      <c r="E474" t="s">
        <v>229</v>
      </c>
      <c r="F474">
        <v>1290</v>
      </c>
      <c r="H474">
        <f t="shared" si="16"/>
        <v>6</v>
      </c>
      <c r="I474">
        <f t="shared" si="17"/>
        <v>2021</v>
      </c>
    </row>
    <row r="475" spans="1:9" x14ac:dyDescent="0.3">
      <c r="A475" s="1">
        <v>44370</v>
      </c>
      <c r="B475" t="s">
        <v>308</v>
      </c>
      <c r="C475" t="s">
        <v>98</v>
      </c>
      <c r="D475" t="s">
        <v>12</v>
      </c>
      <c r="E475" t="s">
        <v>99</v>
      </c>
      <c r="F475">
        <v>1080</v>
      </c>
      <c r="H475">
        <f t="shared" si="16"/>
        <v>6</v>
      </c>
      <c r="I475">
        <f t="shared" si="17"/>
        <v>2021</v>
      </c>
    </row>
    <row r="476" spans="1:9" x14ac:dyDescent="0.3">
      <c r="A476" s="1">
        <v>44370</v>
      </c>
      <c r="B476" t="s">
        <v>308</v>
      </c>
      <c r="C476" t="s">
        <v>293</v>
      </c>
      <c r="D476" t="s">
        <v>12</v>
      </c>
      <c r="E476" t="s">
        <v>258</v>
      </c>
      <c r="F476">
        <v>440</v>
      </c>
      <c r="H476">
        <f t="shared" si="16"/>
        <v>6</v>
      </c>
      <c r="I476">
        <f t="shared" si="17"/>
        <v>2021</v>
      </c>
    </row>
    <row r="477" spans="1:9" x14ac:dyDescent="0.3">
      <c r="A477" s="1">
        <v>44354</v>
      </c>
      <c r="B477" t="s">
        <v>130</v>
      </c>
      <c r="G477">
        <v>14560</v>
      </c>
      <c r="H477">
        <f t="shared" si="16"/>
        <v>6</v>
      </c>
      <c r="I477">
        <f t="shared" si="17"/>
        <v>2021</v>
      </c>
    </row>
    <row r="478" spans="1:9" x14ac:dyDescent="0.3">
      <c r="A478" s="1">
        <v>44354</v>
      </c>
      <c r="B478" t="s">
        <v>130</v>
      </c>
      <c r="C478" t="s">
        <v>40</v>
      </c>
      <c r="D478" t="s">
        <v>16</v>
      </c>
      <c r="E478" t="s">
        <v>104</v>
      </c>
      <c r="F478">
        <v>3960</v>
      </c>
      <c r="H478">
        <f t="shared" si="16"/>
        <v>6</v>
      </c>
      <c r="I478">
        <f t="shared" si="17"/>
        <v>2021</v>
      </c>
    </row>
    <row r="479" spans="1:9" x14ac:dyDescent="0.3">
      <c r="A479" s="1">
        <v>44354</v>
      </c>
      <c r="B479" t="s">
        <v>130</v>
      </c>
      <c r="C479" t="s">
        <v>94</v>
      </c>
      <c r="D479" t="s">
        <v>245</v>
      </c>
      <c r="E479" t="s">
        <v>253</v>
      </c>
      <c r="F479">
        <v>9600</v>
      </c>
      <c r="H479">
        <f t="shared" si="16"/>
        <v>6</v>
      </c>
      <c r="I479">
        <f t="shared" si="17"/>
        <v>2021</v>
      </c>
    </row>
    <row r="480" spans="1:9" x14ac:dyDescent="0.3">
      <c r="A480" s="1">
        <v>44354</v>
      </c>
      <c r="B480" t="s">
        <v>130</v>
      </c>
      <c r="C480" t="s">
        <v>294</v>
      </c>
      <c r="D480" t="s">
        <v>12</v>
      </c>
      <c r="E480" t="s">
        <v>156</v>
      </c>
      <c r="F480">
        <v>1000</v>
      </c>
      <c r="H480">
        <f t="shared" si="16"/>
        <v>6</v>
      </c>
      <c r="I480">
        <f t="shared" si="17"/>
        <v>2021</v>
      </c>
    </row>
    <row r="481" spans="1:9" x14ac:dyDescent="0.3">
      <c r="A481" s="1">
        <v>44357</v>
      </c>
      <c r="B481" t="s">
        <v>130</v>
      </c>
      <c r="G481">
        <v>5265</v>
      </c>
      <c r="H481">
        <f t="shared" si="16"/>
        <v>6</v>
      </c>
      <c r="I481">
        <f t="shared" si="17"/>
        <v>2021</v>
      </c>
    </row>
    <row r="482" spans="1:9" x14ac:dyDescent="0.3">
      <c r="A482" s="1">
        <v>44357</v>
      </c>
      <c r="B482" t="s">
        <v>130</v>
      </c>
      <c r="C482" t="s">
        <v>38</v>
      </c>
      <c r="D482" t="s">
        <v>12</v>
      </c>
      <c r="E482" t="s">
        <v>100</v>
      </c>
      <c r="F482">
        <v>700</v>
      </c>
      <c r="H482">
        <f t="shared" si="16"/>
        <v>6</v>
      </c>
      <c r="I482">
        <f t="shared" si="17"/>
        <v>2021</v>
      </c>
    </row>
    <row r="483" spans="1:9" x14ac:dyDescent="0.3">
      <c r="A483" s="1">
        <v>44357</v>
      </c>
      <c r="B483" t="s">
        <v>130</v>
      </c>
      <c r="C483" t="s">
        <v>11</v>
      </c>
      <c r="D483" t="s">
        <v>12</v>
      </c>
      <c r="E483" t="s">
        <v>100</v>
      </c>
      <c r="F483">
        <v>700</v>
      </c>
      <c r="H483">
        <f t="shared" si="16"/>
        <v>6</v>
      </c>
      <c r="I483">
        <f t="shared" si="17"/>
        <v>2021</v>
      </c>
    </row>
    <row r="484" spans="1:9" x14ac:dyDescent="0.3">
      <c r="A484" s="1">
        <v>44357</v>
      </c>
      <c r="B484" t="s">
        <v>130</v>
      </c>
      <c r="C484" t="s">
        <v>94</v>
      </c>
      <c r="D484" t="s">
        <v>180</v>
      </c>
      <c r="E484" t="s">
        <v>186</v>
      </c>
      <c r="F484">
        <v>1900</v>
      </c>
      <c r="H484">
        <f t="shared" si="16"/>
        <v>6</v>
      </c>
      <c r="I484">
        <f t="shared" si="17"/>
        <v>2021</v>
      </c>
    </row>
    <row r="485" spans="1:9" x14ac:dyDescent="0.3">
      <c r="A485" s="1">
        <v>44357</v>
      </c>
      <c r="B485" t="s">
        <v>130</v>
      </c>
      <c r="C485" t="s">
        <v>108</v>
      </c>
      <c r="D485" t="s">
        <v>5</v>
      </c>
      <c r="E485" t="s">
        <v>164</v>
      </c>
      <c r="F485">
        <v>545</v>
      </c>
      <c r="H485">
        <f t="shared" si="16"/>
        <v>6</v>
      </c>
      <c r="I485">
        <f t="shared" si="17"/>
        <v>2021</v>
      </c>
    </row>
    <row r="486" spans="1:9" x14ac:dyDescent="0.3">
      <c r="A486" s="1">
        <v>44357</v>
      </c>
      <c r="B486" t="s">
        <v>130</v>
      </c>
      <c r="C486" t="s">
        <v>293</v>
      </c>
      <c r="D486" t="s">
        <v>93</v>
      </c>
      <c r="E486" t="s">
        <v>258</v>
      </c>
      <c r="F486">
        <v>880</v>
      </c>
      <c r="H486">
        <f t="shared" si="16"/>
        <v>6</v>
      </c>
      <c r="I486">
        <f t="shared" si="17"/>
        <v>2021</v>
      </c>
    </row>
    <row r="487" spans="1:9" x14ac:dyDescent="0.3">
      <c r="A487" s="1">
        <v>44357</v>
      </c>
      <c r="B487" t="s">
        <v>130</v>
      </c>
      <c r="C487" t="s">
        <v>231</v>
      </c>
      <c r="D487" t="s">
        <v>5</v>
      </c>
      <c r="E487" t="s">
        <v>99</v>
      </c>
      <c r="F487">
        <v>540</v>
      </c>
      <c r="H487">
        <f t="shared" si="16"/>
        <v>6</v>
      </c>
      <c r="I487">
        <f t="shared" si="17"/>
        <v>2021</v>
      </c>
    </row>
    <row r="488" spans="1:9" x14ac:dyDescent="0.3">
      <c r="A488" s="1">
        <v>44357</v>
      </c>
      <c r="B488" t="s">
        <v>130</v>
      </c>
      <c r="G488">
        <v>790</v>
      </c>
      <c r="H488">
        <f t="shared" si="16"/>
        <v>6</v>
      </c>
      <c r="I488">
        <f t="shared" si="17"/>
        <v>2021</v>
      </c>
    </row>
    <row r="489" spans="1:9" x14ac:dyDescent="0.3">
      <c r="A489" s="1">
        <v>44357</v>
      </c>
      <c r="B489" t="s">
        <v>130</v>
      </c>
      <c r="C489" t="s">
        <v>188</v>
      </c>
      <c r="D489" t="s">
        <v>5</v>
      </c>
      <c r="E489" t="s">
        <v>237</v>
      </c>
      <c r="F489">
        <v>790</v>
      </c>
      <c r="H489">
        <f t="shared" si="16"/>
        <v>6</v>
      </c>
      <c r="I489">
        <f t="shared" si="17"/>
        <v>2021</v>
      </c>
    </row>
    <row r="490" spans="1:9" x14ac:dyDescent="0.3">
      <c r="A490" s="1">
        <v>44357</v>
      </c>
      <c r="B490" t="s">
        <v>130</v>
      </c>
      <c r="G490">
        <v>26265</v>
      </c>
      <c r="H490">
        <f t="shared" si="16"/>
        <v>6</v>
      </c>
      <c r="I490">
        <f t="shared" si="17"/>
        <v>2021</v>
      </c>
    </row>
    <row r="491" spans="1:9" x14ac:dyDescent="0.3">
      <c r="A491" s="1">
        <v>44357</v>
      </c>
      <c r="B491" t="s">
        <v>130</v>
      </c>
      <c r="C491" t="s">
        <v>40</v>
      </c>
      <c r="D491" t="s">
        <v>52</v>
      </c>
      <c r="E491" t="s">
        <v>284</v>
      </c>
      <c r="F491">
        <v>16600</v>
      </c>
      <c r="H491">
        <f t="shared" si="16"/>
        <v>6</v>
      </c>
      <c r="I491">
        <f t="shared" si="17"/>
        <v>2021</v>
      </c>
    </row>
    <row r="492" spans="1:9" x14ac:dyDescent="0.3">
      <c r="A492" s="1">
        <v>44357</v>
      </c>
      <c r="B492" t="s">
        <v>130</v>
      </c>
      <c r="C492" t="s">
        <v>294</v>
      </c>
      <c r="D492" t="s">
        <v>12</v>
      </c>
      <c r="E492" t="s">
        <v>31</v>
      </c>
      <c r="F492">
        <v>1040</v>
      </c>
      <c r="H492">
        <f t="shared" si="16"/>
        <v>6</v>
      </c>
      <c r="I492">
        <f t="shared" si="17"/>
        <v>2021</v>
      </c>
    </row>
    <row r="493" spans="1:9" x14ac:dyDescent="0.3">
      <c r="A493" s="1">
        <v>44357</v>
      </c>
      <c r="B493" t="s">
        <v>130</v>
      </c>
      <c r="C493" t="s">
        <v>293</v>
      </c>
      <c r="D493" t="s">
        <v>18</v>
      </c>
      <c r="E493" t="s">
        <v>214</v>
      </c>
      <c r="F493">
        <v>1290</v>
      </c>
      <c r="H493">
        <f t="shared" si="16"/>
        <v>6</v>
      </c>
      <c r="I493">
        <f t="shared" si="17"/>
        <v>2021</v>
      </c>
    </row>
    <row r="494" spans="1:9" x14ac:dyDescent="0.3">
      <c r="A494" s="1">
        <v>44357</v>
      </c>
      <c r="B494" t="s">
        <v>130</v>
      </c>
      <c r="C494" t="s">
        <v>11</v>
      </c>
      <c r="D494" t="s">
        <v>23</v>
      </c>
      <c r="E494" t="s">
        <v>208</v>
      </c>
      <c r="F494">
        <v>1044</v>
      </c>
      <c r="H494">
        <f t="shared" si="16"/>
        <v>6</v>
      </c>
      <c r="I494">
        <f t="shared" si="17"/>
        <v>2021</v>
      </c>
    </row>
    <row r="495" spans="1:9" x14ac:dyDescent="0.3">
      <c r="A495" s="1">
        <v>44357</v>
      </c>
      <c r="B495" t="s">
        <v>130</v>
      </c>
      <c r="C495" t="s">
        <v>225</v>
      </c>
      <c r="D495" t="s">
        <v>12</v>
      </c>
      <c r="E495" t="s">
        <v>90</v>
      </c>
      <c r="F495">
        <v>640</v>
      </c>
      <c r="H495">
        <f t="shared" si="16"/>
        <v>6</v>
      </c>
      <c r="I495">
        <f t="shared" si="17"/>
        <v>2021</v>
      </c>
    </row>
    <row r="496" spans="1:9" x14ac:dyDescent="0.3">
      <c r="A496" s="1">
        <v>44357</v>
      </c>
      <c r="B496" t="s">
        <v>130</v>
      </c>
      <c r="C496" t="s">
        <v>231</v>
      </c>
      <c r="D496" t="s">
        <v>23</v>
      </c>
      <c r="E496" t="s">
        <v>242</v>
      </c>
      <c r="F496">
        <v>2025</v>
      </c>
      <c r="H496">
        <f t="shared" si="16"/>
        <v>6</v>
      </c>
      <c r="I496">
        <f t="shared" si="17"/>
        <v>2021</v>
      </c>
    </row>
    <row r="497" spans="1:9" x14ac:dyDescent="0.3">
      <c r="A497" s="1">
        <v>44357</v>
      </c>
      <c r="B497" t="s">
        <v>130</v>
      </c>
      <c r="C497" t="s">
        <v>176</v>
      </c>
      <c r="D497" t="s">
        <v>18</v>
      </c>
      <c r="E497" t="s">
        <v>166</v>
      </c>
      <c r="F497">
        <v>1296</v>
      </c>
      <c r="H497">
        <f t="shared" si="16"/>
        <v>6</v>
      </c>
      <c r="I497">
        <f t="shared" si="17"/>
        <v>2021</v>
      </c>
    </row>
    <row r="498" spans="1:9" x14ac:dyDescent="0.3">
      <c r="A498" s="1">
        <v>44357</v>
      </c>
      <c r="B498" t="s">
        <v>130</v>
      </c>
      <c r="C498" t="s">
        <v>152</v>
      </c>
      <c r="D498" t="s">
        <v>12</v>
      </c>
      <c r="E498" t="s">
        <v>14</v>
      </c>
      <c r="F498">
        <v>1070</v>
      </c>
      <c r="H498">
        <f t="shared" si="16"/>
        <v>6</v>
      </c>
      <c r="I498">
        <f t="shared" si="17"/>
        <v>2021</v>
      </c>
    </row>
    <row r="499" spans="1:9" x14ac:dyDescent="0.3">
      <c r="A499" s="1">
        <v>44357</v>
      </c>
      <c r="B499" t="s">
        <v>130</v>
      </c>
      <c r="C499" t="s">
        <v>42</v>
      </c>
      <c r="D499" t="s">
        <v>5</v>
      </c>
      <c r="E499" t="s">
        <v>190</v>
      </c>
      <c r="F499">
        <v>395</v>
      </c>
      <c r="H499">
        <f t="shared" si="16"/>
        <v>6</v>
      </c>
      <c r="I499">
        <f t="shared" si="17"/>
        <v>2021</v>
      </c>
    </row>
    <row r="500" spans="1:9" x14ac:dyDescent="0.3">
      <c r="A500" s="1">
        <v>44357</v>
      </c>
      <c r="B500" t="s">
        <v>130</v>
      </c>
      <c r="C500" t="s">
        <v>94</v>
      </c>
      <c r="D500" t="s">
        <v>174</v>
      </c>
      <c r="E500" t="s">
        <v>186</v>
      </c>
      <c r="F500">
        <v>950</v>
      </c>
      <c r="H500">
        <f t="shared" si="16"/>
        <v>6</v>
      </c>
      <c r="I500">
        <f t="shared" si="17"/>
        <v>2021</v>
      </c>
    </row>
    <row r="501" spans="1:9" x14ac:dyDescent="0.3">
      <c r="A501" s="1">
        <v>44357</v>
      </c>
      <c r="B501" t="s">
        <v>130</v>
      </c>
      <c r="G501">
        <v>1650</v>
      </c>
      <c r="H501">
        <f t="shared" si="16"/>
        <v>6</v>
      </c>
      <c r="I501">
        <f t="shared" si="17"/>
        <v>2021</v>
      </c>
    </row>
    <row r="502" spans="1:9" x14ac:dyDescent="0.3">
      <c r="A502" s="1">
        <v>44357</v>
      </c>
      <c r="B502" t="s">
        <v>130</v>
      </c>
      <c r="C502" t="s">
        <v>188</v>
      </c>
      <c r="D502" t="s">
        <v>5</v>
      </c>
      <c r="E502" t="s">
        <v>237</v>
      </c>
      <c r="F502">
        <v>790</v>
      </c>
      <c r="H502">
        <f t="shared" si="16"/>
        <v>6</v>
      </c>
      <c r="I502">
        <f t="shared" si="17"/>
        <v>2021</v>
      </c>
    </row>
    <row r="503" spans="1:9" x14ac:dyDescent="0.3">
      <c r="A503" s="1">
        <v>44357</v>
      </c>
      <c r="B503" t="s">
        <v>130</v>
      </c>
      <c r="C503" t="s">
        <v>225</v>
      </c>
      <c r="D503" t="s">
        <v>5</v>
      </c>
      <c r="E503" t="s">
        <v>90</v>
      </c>
      <c r="F503">
        <v>320</v>
      </c>
      <c r="H503">
        <f t="shared" si="16"/>
        <v>6</v>
      </c>
      <c r="I503">
        <f t="shared" si="17"/>
        <v>2021</v>
      </c>
    </row>
    <row r="504" spans="1:9" x14ac:dyDescent="0.3">
      <c r="A504" s="1">
        <v>44357</v>
      </c>
      <c r="B504" t="s">
        <v>130</v>
      </c>
      <c r="C504" t="s">
        <v>134</v>
      </c>
      <c r="D504" t="s">
        <v>5</v>
      </c>
      <c r="E504" t="s">
        <v>99</v>
      </c>
      <c r="F504">
        <v>540</v>
      </c>
      <c r="H504">
        <f t="shared" si="16"/>
        <v>6</v>
      </c>
      <c r="I504">
        <f t="shared" si="17"/>
        <v>2021</v>
      </c>
    </row>
    <row r="505" spans="1:9" x14ac:dyDescent="0.3">
      <c r="A505" s="1">
        <v>44368</v>
      </c>
      <c r="B505" t="s">
        <v>130</v>
      </c>
      <c r="G505">
        <v>4360</v>
      </c>
      <c r="H505">
        <f t="shared" si="16"/>
        <v>6</v>
      </c>
      <c r="I505">
        <f t="shared" si="17"/>
        <v>2021</v>
      </c>
    </row>
    <row r="506" spans="1:9" x14ac:dyDescent="0.3">
      <c r="A506" s="1">
        <v>44368</v>
      </c>
      <c r="B506" t="s">
        <v>130</v>
      </c>
      <c r="C506" t="s">
        <v>22</v>
      </c>
      <c r="D506" t="s">
        <v>37</v>
      </c>
      <c r="E506" t="s">
        <v>304</v>
      </c>
      <c r="F506">
        <v>2800</v>
      </c>
      <c r="H506">
        <f t="shared" si="16"/>
        <v>6</v>
      </c>
      <c r="I506">
        <f t="shared" si="17"/>
        <v>2021</v>
      </c>
    </row>
    <row r="507" spans="1:9" x14ac:dyDescent="0.3">
      <c r="A507" s="1">
        <v>44368</v>
      </c>
      <c r="B507" t="s">
        <v>130</v>
      </c>
      <c r="C507" t="s">
        <v>259</v>
      </c>
      <c r="D507" t="s">
        <v>9</v>
      </c>
      <c r="E507" t="s">
        <v>305</v>
      </c>
      <c r="F507">
        <v>1560</v>
      </c>
      <c r="H507">
        <f t="shared" si="16"/>
        <v>6</v>
      </c>
      <c r="I507">
        <f t="shared" si="17"/>
        <v>2021</v>
      </c>
    </row>
    <row r="508" spans="1:9" x14ac:dyDescent="0.3">
      <c r="A508" s="1">
        <v>44368</v>
      </c>
      <c r="B508" t="s">
        <v>130</v>
      </c>
      <c r="C508" t="s">
        <v>306</v>
      </c>
      <c r="H508">
        <f t="shared" si="16"/>
        <v>6</v>
      </c>
      <c r="I508">
        <f t="shared" si="17"/>
        <v>2021</v>
      </c>
    </row>
    <row r="509" spans="1:9" x14ac:dyDescent="0.3">
      <c r="A509" s="1">
        <v>44375</v>
      </c>
      <c r="B509" t="s">
        <v>130</v>
      </c>
      <c r="G509">
        <v>5370</v>
      </c>
      <c r="H509">
        <f t="shared" si="16"/>
        <v>6</v>
      </c>
      <c r="I509">
        <f t="shared" si="17"/>
        <v>2021</v>
      </c>
    </row>
    <row r="510" spans="1:9" x14ac:dyDescent="0.3">
      <c r="A510" s="1">
        <v>44375</v>
      </c>
      <c r="B510" t="s">
        <v>130</v>
      </c>
      <c r="C510" t="s">
        <v>98</v>
      </c>
      <c r="D510" t="s">
        <v>23</v>
      </c>
      <c r="E510" t="s">
        <v>26</v>
      </c>
      <c r="F510">
        <v>1590</v>
      </c>
      <c r="H510">
        <f t="shared" si="16"/>
        <v>6</v>
      </c>
      <c r="I510">
        <f t="shared" si="17"/>
        <v>2021</v>
      </c>
    </row>
    <row r="511" spans="1:9" x14ac:dyDescent="0.3">
      <c r="A511" s="1">
        <v>44375</v>
      </c>
      <c r="B511" t="s">
        <v>130</v>
      </c>
      <c r="C511" t="s">
        <v>108</v>
      </c>
      <c r="D511" t="s">
        <v>12</v>
      </c>
      <c r="E511" t="s">
        <v>164</v>
      </c>
      <c r="F511">
        <v>1090</v>
      </c>
      <c r="H511">
        <f t="shared" si="16"/>
        <v>6</v>
      </c>
      <c r="I511">
        <f t="shared" si="17"/>
        <v>2021</v>
      </c>
    </row>
    <row r="512" spans="1:9" x14ac:dyDescent="0.3">
      <c r="A512" s="1">
        <v>44375</v>
      </c>
      <c r="B512" t="s">
        <v>130</v>
      </c>
      <c r="C512" t="s">
        <v>135</v>
      </c>
      <c r="D512" t="s">
        <v>5</v>
      </c>
      <c r="E512" t="s">
        <v>115</v>
      </c>
      <c r="F512">
        <v>650</v>
      </c>
      <c r="H512">
        <f t="shared" si="16"/>
        <v>6</v>
      </c>
      <c r="I512">
        <f t="shared" si="17"/>
        <v>2021</v>
      </c>
    </row>
    <row r="513" spans="1:9" x14ac:dyDescent="0.3">
      <c r="A513" s="1">
        <v>44375</v>
      </c>
      <c r="B513" t="s">
        <v>130</v>
      </c>
      <c r="C513" t="s">
        <v>204</v>
      </c>
      <c r="D513" t="s">
        <v>12</v>
      </c>
      <c r="E513" t="s">
        <v>205</v>
      </c>
      <c r="F513">
        <v>1500</v>
      </c>
      <c r="H513">
        <f t="shared" si="16"/>
        <v>6</v>
      </c>
      <c r="I513">
        <f t="shared" si="17"/>
        <v>2021</v>
      </c>
    </row>
    <row r="514" spans="1:9" x14ac:dyDescent="0.3">
      <c r="A514" s="1">
        <v>44375</v>
      </c>
      <c r="B514" t="s">
        <v>130</v>
      </c>
      <c r="C514" t="s">
        <v>152</v>
      </c>
      <c r="D514" t="s">
        <v>5</v>
      </c>
      <c r="E514" t="s">
        <v>99</v>
      </c>
      <c r="F514">
        <v>540</v>
      </c>
      <c r="H514">
        <f t="shared" si="16"/>
        <v>6</v>
      </c>
      <c r="I514">
        <f t="shared" si="17"/>
        <v>2021</v>
      </c>
    </row>
    <row r="515" spans="1:9" x14ac:dyDescent="0.3">
      <c r="A515" s="1">
        <v>44375</v>
      </c>
      <c r="B515" t="s">
        <v>130</v>
      </c>
      <c r="C515" t="s">
        <v>148</v>
      </c>
      <c r="D515" t="s">
        <v>5</v>
      </c>
      <c r="E515" t="s">
        <v>177</v>
      </c>
      <c r="H515">
        <f t="shared" si="16"/>
        <v>6</v>
      </c>
      <c r="I515">
        <f t="shared" si="17"/>
        <v>2021</v>
      </c>
    </row>
    <row r="516" spans="1:9" x14ac:dyDescent="0.3">
      <c r="A516" s="1">
        <v>44375</v>
      </c>
      <c r="B516" t="s">
        <v>130</v>
      </c>
      <c r="G516">
        <v>21955</v>
      </c>
      <c r="H516">
        <f t="shared" si="16"/>
        <v>6</v>
      </c>
      <c r="I516">
        <f t="shared" si="17"/>
        <v>2021</v>
      </c>
    </row>
    <row r="517" spans="1:9" x14ac:dyDescent="0.3">
      <c r="A517" s="1">
        <v>44375</v>
      </c>
      <c r="B517" t="s">
        <v>130</v>
      </c>
      <c r="C517" t="s">
        <v>204</v>
      </c>
      <c r="D517" t="s">
        <v>25</v>
      </c>
      <c r="E517" t="s">
        <v>205</v>
      </c>
      <c r="F517">
        <v>3750</v>
      </c>
      <c r="H517">
        <f t="shared" si="16"/>
        <v>6</v>
      </c>
      <c r="I517">
        <f t="shared" si="17"/>
        <v>2021</v>
      </c>
    </row>
    <row r="518" spans="1:9" x14ac:dyDescent="0.3">
      <c r="A518" s="1">
        <v>44375</v>
      </c>
      <c r="B518" t="s">
        <v>130</v>
      </c>
      <c r="C518" t="s">
        <v>135</v>
      </c>
      <c r="D518" t="s">
        <v>18</v>
      </c>
      <c r="E518" t="s">
        <v>229</v>
      </c>
      <c r="F518">
        <v>3870</v>
      </c>
      <c r="H518">
        <f t="shared" si="16"/>
        <v>6</v>
      </c>
      <c r="I518">
        <f t="shared" si="17"/>
        <v>2021</v>
      </c>
    </row>
    <row r="519" spans="1:9" x14ac:dyDescent="0.3">
      <c r="A519" s="1">
        <v>44375</v>
      </c>
      <c r="B519" t="s">
        <v>130</v>
      </c>
      <c r="C519" t="s">
        <v>116</v>
      </c>
      <c r="D519" t="s">
        <v>23</v>
      </c>
      <c r="E519" t="s">
        <v>229</v>
      </c>
      <c r="F519">
        <v>1935</v>
      </c>
      <c r="H519">
        <f t="shared" si="16"/>
        <v>6</v>
      </c>
      <c r="I519">
        <f t="shared" si="17"/>
        <v>2021</v>
      </c>
    </row>
    <row r="520" spans="1:9" x14ac:dyDescent="0.3">
      <c r="A520" s="1">
        <v>44375</v>
      </c>
      <c r="B520" t="s">
        <v>130</v>
      </c>
      <c r="C520" t="s">
        <v>108</v>
      </c>
      <c r="D520" t="s">
        <v>78</v>
      </c>
      <c r="E520" t="s">
        <v>164</v>
      </c>
      <c r="F520">
        <v>4905</v>
      </c>
      <c r="H520">
        <f t="shared" si="16"/>
        <v>6</v>
      </c>
      <c r="I520">
        <f t="shared" si="17"/>
        <v>2021</v>
      </c>
    </row>
    <row r="521" spans="1:9" x14ac:dyDescent="0.3">
      <c r="A521" s="1">
        <v>44375</v>
      </c>
      <c r="B521" t="s">
        <v>130</v>
      </c>
      <c r="C521" t="s">
        <v>133</v>
      </c>
      <c r="D521" t="s">
        <v>25</v>
      </c>
      <c r="E521" t="s">
        <v>164</v>
      </c>
      <c r="F521">
        <v>2725</v>
      </c>
      <c r="H521">
        <f t="shared" si="16"/>
        <v>6</v>
      </c>
      <c r="I521">
        <f t="shared" si="17"/>
        <v>2021</v>
      </c>
    </row>
    <row r="522" spans="1:9" x14ac:dyDescent="0.3">
      <c r="A522" s="1">
        <v>44375</v>
      </c>
      <c r="B522" t="s">
        <v>130</v>
      </c>
      <c r="C522" t="s">
        <v>134</v>
      </c>
      <c r="D522" t="s">
        <v>12</v>
      </c>
      <c r="E522" t="s">
        <v>164</v>
      </c>
      <c r="F522">
        <v>1090</v>
      </c>
      <c r="H522">
        <f t="shared" si="16"/>
        <v>6</v>
      </c>
      <c r="I522">
        <f t="shared" si="17"/>
        <v>2021</v>
      </c>
    </row>
    <row r="523" spans="1:9" x14ac:dyDescent="0.3">
      <c r="A523" s="1">
        <v>44375</v>
      </c>
      <c r="B523" t="s">
        <v>130</v>
      </c>
      <c r="C523" t="s">
        <v>125</v>
      </c>
      <c r="D523" t="s">
        <v>12</v>
      </c>
      <c r="E523" t="s">
        <v>126</v>
      </c>
      <c r="F523">
        <v>1380</v>
      </c>
      <c r="H523">
        <f t="shared" ref="H523:H586" si="18">MONTH(A523)</f>
        <v>6</v>
      </c>
      <c r="I523">
        <f t="shared" ref="I523:I586" si="19">YEAR(A523)</f>
        <v>2021</v>
      </c>
    </row>
    <row r="524" spans="1:9" x14ac:dyDescent="0.3">
      <c r="A524" s="1">
        <v>44375</v>
      </c>
      <c r="B524" t="s">
        <v>130</v>
      </c>
      <c r="C524" t="s">
        <v>101</v>
      </c>
      <c r="D524" t="s">
        <v>12</v>
      </c>
      <c r="E524" t="s">
        <v>31</v>
      </c>
      <c r="F524">
        <v>1040</v>
      </c>
      <c r="H524">
        <f t="shared" si="18"/>
        <v>6</v>
      </c>
      <c r="I524">
        <f t="shared" si="19"/>
        <v>2021</v>
      </c>
    </row>
    <row r="525" spans="1:9" x14ac:dyDescent="0.3">
      <c r="A525" s="1">
        <v>44375</v>
      </c>
      <c r="B525" t="s">
        <v>130</v>
      </c>
      <c r="C525" t="s">
        <v>123</v>
      </c>
      <c r="D525" t="s">
        <v>12</v>
      </c>
      <c r="E525" t="s">
        <v>199</v>
      </c>
      <c r="F525">
        <v>1560</v>
      </c>
      <c r="H525">
        <f t="shared" si="18"/>
        <v>6</v>
      </c>
      <c r="I525">
        <f t="shared" si="19"/>
        <v>2021</v>
      </c>
    </row>
    <row r="526" spans="1:9" x14ac:dyDescent="0.3">
      <c r="A526" s="1">
        <v>44375</v>
      </c>
      <c r="B526" t="s">
        <v>130</v>
      </c>
      <c r="C526" t="s">
        <v>148</v>
      </c>
      <c r="D526" t="s">
        <v>23</v>
      </c>
      <c r="E526" t="s">
        <v>177</v>
      </c>
      <c r="H526">
        <f t="shared" si="18"/>
        <v>6</v>
      </c>
      <c r="I526">
        <f t="shared" si="19"/>
        <v>2021</v>
      </c>
    </row>
    <row r="527" spans="1:9" x14ac:dyDescent="0.3">
      <c r="A527" s="1">
        <v>44375</v>
      </c>
      <c r="B527" t="s">
        <v>130</v>
      </c>
      <c r="G527">
        <v>15450</v>
      </c>
      <c r="H527">
        <f t="shared" si="18"/>
        <v>6</v>
      </c>
      <c r="I527">
        <f t="shared" si="19"/>
        <v>2021</v>
      </c>
    </row>
    <row r="528" spans="1:9" x14ac:dyDescent="0.3">
      <c r="A528" s="1">
        <v>44375</v>
      </c>
      <c r="B528" t="s">
        <v>130</v>
      </c>
      <c r="C528" t="s">
        <v>204</v>
      </c>
      <c r="D528" t="s">
        <v>5</v>
      </c>
      <c r="E528" t="s">
        <v>205</v>
      </c>
      <c r="F528">
        <v>750</v>
      </c>
      <c r="H528">
        <f t="shared" si="18"/>
        <v>6</v>
      </c>
      <c r="I528">
        <f t="shared" si="19"/>
        <v>2021</v>
      </c>
    </row>
    <row r="529" spans="1:9" x14ac:dyDescent="0.3">
      <c r="A529" s="1">
        <v>44375</v>
      </c>
      <c r="B529" t="s">
        <v>130</v>
      </c>
      <c r="C529" t="s">
        <v>134</v>
      </c>
      <c r="D529" t="s">
        <v>12</v>
      </c>
      <c r="E529" t="s">
        <v>164</v>
      </c>
      <c r="F529">
        <v>1090</v>
      </c>
      <c r="H529">
        <f t="shared" si="18"/>
        <v>6</v>
      </c>
      <c r="I529">
        <f t="shared" si="19"/>
        <v>2021</v>
      </c>
    </row>
    <row r="530" spans="1:9" x14ac:dyDescent="0.3">
      <c r="A530" s="1">
        <v>44375</v>
      </c>
      <c r="B530" t="s">
        <v>130</v>
      </c>
      <c r="C530" t="s">
        <v>133</v>
      </c>
      <c r="D530" t="s">
        <v>12</v>
      </c>
      <c r="E530" t="s">
        <v>164</v>
      </c>
      <c r="F530">
        <v>1090</v>
      </c>
      <c r="H530">
        <f t="shared" si="18"/>
        <v>6</v>
      </c>
      <c r="I530">
        <f t="shared" si="19"/>
        <v>2021</v>
      </c>
    </row>
    <row r="531" spans="1:9" x14ac:dyDescent="0.3">
      <c r="A531" s="1">
        <v>44375</v>
      </c>
      <c r="B531" t="s">
        <v>130</v>
      </c>
      <c r="C531" t="s">
        <v>135</v>
      </c>
      <c r="D531" t="s">
        <v>5</v>
      </c>
      <c r="E531" t="s">
        <v>229</v>
      </c>
      <c r="F531">
        <v>645</v>
      </c>
      <c r="H531">
        <f t="shared" si="18"/>
        <v>6</v>
      </c>
      <c r="I531">
        <f t="shared" si="19"/>
        <v>2021</v>
      </c>
    </row>
    <row r="532" spans="1:9" x14ac:dyDescent="0.3">
      <c r="A532" s="1">
        <v>44375</v>
      </c>
      <c r="B532" t="s">
        <v>130</v>
      </c>
      <c r="C532" t="s">
        <v>310</v>
      </c>
      <c r="D532" t="s">
        <v>5</v>
      </c>
      <c r="E532" t="s">
        <v>178</v>
      </c>
      <c r="F532">
        <v>800</v>
      </c>
      <c r="H532">
        <f t="shared" si="18"/>
        <v>6</v>
      </c>
      <c r="I532">
        <f t="shared" si="19"/>
        <v>2021</v>
      </c>
    </row>
    <row r="533" spans="1:9" x14ac:dyDescent="0.3">
      <c r="A533" s="1">
        <v>44375</v>
      </c>
      <c r="B533" t="s">
        <v>130</v>
      </c>
      <c r="C533" t="s">
        <v>40</v>
      </c>
      <c r="D533" t="s">
        <v>12</v>
      </c>
      <c r="E533" t="s">
        <v>104</v>
      </c>
      <c r="F533">
        <v>660</v>
      </c>
      <c r="H533">
        <f t="shared" si="18"/>
        <v>6</v>
      </c>
      <c r="I533">
        <f t="shared" si="19"/>
        <v>2021</v>
      </c>
    </row>
    <row r="534" spans="1:9" x14ac:dyDescent="0.3">
      <c r="A534" s="1">
        <v>44375</v>
      </c>
      <c r="B534" t="s">
        <v>130</v>
      </c>
      <c r="C534" t="s">
        <v>176</v>
      </c>
      <c r="D534" t="s">
        <v>61</v>
      </c>
      <c r="E534" t="s">
        <v>166</v>
      </c>
      <c r="F534">
        <v>3240</v>
      </c>
      <c r="H534">
        <f t="shared" si="18"/>
        <v>6</v>
      </c>
      <c r="I534">
        <f t="shared" si="19"/>
        <v>2021</v>
      </c>
    </row>
    <row r="535" spans="1:9" x14ac:dyDescent="0.3">
      <c r="A535" s="1">
        <v>44375</v>
      </c>
      <c r="B535" t="s">
        <v>130</v>
      </c>
      <c r="C535" t="s">
        <v>235</v>
      </c>
      <c r="D535" t="s">
        <v>25</v>
      </c>
      <c r="E535" t="s">
        <v>311</v>
      </c>
      <c r="F535">
        <v>1175</v>
      </c>
      <c r="H535">
        <f t="shared" si="18"/>
        <v>6</v>
      </c>
      <c r="I535">
        <f t="shared" si="19"/>
        <v>2021</v>
      </c>
    </row>
    <row r="536" spans="1:9" x14ac:dyDescent="0.3">
      <c r="A536" s="1">
        <v>44375</v>
      </c>
      <c r="B536" t="s">
        <v>130</v>
      </c>
      <c r="C536" t="s">
        <v>270</v>
      </c>
      <c r="D536" t="s">
        <v>9</v>
      </c>
      <c r="E536" t="s">
        <v>119</v>
      </c>
      <c r="F536">
        <v>6000</v>
      </c>
      <c r="H536">
        <f t="shared" si="18"/>
        <v>6</v>
      </c>
      <c r="I536">
        <f t="shared" si="19"/>
        <v>2021</v>
      </c>
    </row>
    <row r="537" spans="1:9" x14ac:dyDescent="0.3">
      <c r="A537" s="1">
        <v>44375</v>
      </c>
      <c r="B537" t="s">
        <v>130</v>
      </c>
      <c r="G537">
        <v>1960</v>
      </c>
      <c r="H537">
        <f t="shared" si="18"/>
        <v>6</v>
      </c>
      <c r="I537">
        <f t="shared" si="19"/>
        <v>2021</v>
      </c>
    </row>
    <row r="538" spans="1:9" x14ac:dyDescent="0.3">
      <c r="A538" s="1">
        <v>44375</v>
      </c>
      <c r="B538" t="s">
        <v>130</v>
      </c>
      <c r="C538" t="s">
        <v>148</v>
      </c>
      <c r="D538" t="s">
        <v>25</v>
      </c>
      <c r="E538" t="s">
        <v>177</v>
      </c>
      <c r="F538">
        <v>900</v>
      </c>
      <c r="H538">
        <f t="shared" si="18"/>
        <v>6</v>
      </c>
      <c r="I538">
        <f t="shared" si="19"/>
        <v>2021</v>
      </c>
    </row>
    <row r="539" spans="1:9" x14ac:dyDescent="0.3">
      <c r="A539" s="1">
        <v>44375</v>
      </c>
      <c r="B539" t="s">
        <v>130</v>
      </c>
      <c r="C539" t="s">
        <v>98</v>
      </c>
      <c r="D539" t="s">
        <v>12</v>
      </c>
      <c r="E539" t="s">
        <v>26</v>
      </c>
      <c r="F539">
        <v>1060</v>
      </c>
      <c r="H539">
        <f t="shared" si="18"/>
        <v>6</v>
      </c>
      <c r="I539">
        <f t="shared" si="19"/>
        <v>2021</v>
      </c>
    </row>
    <row r="540" spans="1:9" x14ac:dyDescent="0.3">
      <c r="A540" s="1">
        <v>44375</v>
      </c>
      <c r="B540" t="s">
        <v>130</v>
      </c>
      <c r="G540">
        <v>7071</v>
      </c>
      <c r="H540">
        <f t="shared" si="18"/>
        <v>6</v>
      </c>
      <c r="I540">
        <f t="shared" si="19"/>
        <v>2021</v>
      </c>
    </row>
    <row r="541" spans="1:9" x14ac:dyDescent="0.3">
      <c r="A541" s="1">
        <v>44375</v>
      </c>
      <c r="B541" t="s">
        <v>130</v>
      </c>
      <c r="C541" t="s">
        <v>165</v>
      </c>
      <c r="D541" t="s">
        <v>5</v>
      </c>
      <c r="E541" t="s">
        <v>166</v>
      </c>
      <c r="F541">
        <v>216</v>
      </c>
      <c r="H541">
        <f t="shared" si="18"/>
        <v>6</v>
      </c>
      <c r="I541">
        <f t="shared" si="19"/>
        <v>2021</v>
      </c>
    </row>
    <row r="542" spans="1:9" x14ac:dyDescent="0.3">
      <c r="A542" s="1">
        <v>44375</v>
      </c>
      <c r="B542" t="s">
        <v>130</v>
      </c>
      <c r="C542" t="s">
        <v>94</v>
      </c>
      <c r="D542" t="s">
        <v>131</v>
      </c>
      <c r="E542" t="s">
        <v>132</v>
      </c>
      <c r="F542">
        <v>200</v>
      </c>
      <c r="H542">
        <f t="shared" si="18"/>
        <v>6</v>
      </c>
      <c r="I542">
        <f t="shared" si="19"/>
        <v>2021</v>
      </c>
    </row>
    <row r="543" spans="1:9" x14ac:dyDescent="0.3">
      <c r="A543" s="1">
        <v>44375</v>
      </c>
      <c r="B543" t="s">
        <v>130</v>
      </c>
      <c r="C543" t="s">
        <v>108</v>
      </c>
      <c r="D543" t="s">
        <v>25</v>
      </c>
      <c r="E543" t="s">
        <v>164</v>
      </c>
      <c r="F543">
        <v>2725</v>
      </c>
      <c r="H543">
        <f t="shared" si="18"/>
        <v>6</v>
      </c>
      <c r="I543">
        <f t="shared" si="19"/>
        <v>2021</v>
      </c>
    </row>
    <row r="544" spans="1:9" x14ac:dyDescent="0.3">
      <c r="A544" s="1">
        <v>44375</v>
      </c>
      <c r="B544" t="s">
        <v>130</v>
      </c>
      <c r="C544" t="s">
        <v>40</v>
      </c>
      <c r="D544" t="s">
        <v>5</v>
      </c>
      <c r="E544" t="s">
        <v>104</v>
      </c>
      <c r="F544">
        <v>330</v>
      </c>
      <c r="H544">
        <f t="shared" si="18"/>
        <v>6</v>
      </c>
      <c r="I544">
        <f t="shared" si="19"/>
        <v>2021</v>
      </c>
    </row>
    <row r="545" spans="1:9" x14ac:dyDescent="0.3">
      <c r="A545" s="1">
        <v>44375</v>
      </c>
      <c r="B545" t="s">
        <v>130</v>
      </c>
      <c r="C545" t="s">
        <v>94</v>
      </c>
      <c r="D545" t="s">
        <v>131</v>
      </c>
      <c r="E545" t="s">
        <v>132</v>
      </c>
      <c r="F545">
        <v>200</v>
      </c>
      <c r="H545">
        <f t="shared" si="18"/>
        <v>6</v>
      </c>
      <c r="I545">
        <f t="shared" si="19"/>
        <v>2021</v>
      </c>
    </row>
    <row r="546" spans="1:9" x14ac:dyDescent="0.3">
      <c r="A546" s="1">
        <v>44375</v>
      </c>
      <c r="B546" t="s">
        <v>130</v>
      </c>
      <c r="C546" t="s">
        <v>40</v>
      </c>
      <c r="D546" t="s">
        <v>25</v>
      </c>
      <c r="E546" t="s">
        <v>104</v>
      </c>
      <c r="F546">
        <v>1650</v>
      </c>
      <c r="H546">
        <f t="shared" si="18"/>
        <v>6</v>
      </c>
      <c r="I546">
        <f t="shared" si="19"/>
        <v>2021</v>
      </c>
    </row>
    <row r="547" spans="1:9" x14ac:dyDescent="0.3">
      <c r="A547" s="1">
        <v>44375</v>
      </c>
      <c r="B547" t="s">
        <v>130</v>
      </c>
      <c r="C547" t="s">
        <v>231</v>
      </c>
      <c r="D547" t="s">
        <v>5</v>
      </c>
      <c r="E547" t="s">
        <v>69</v>
      </c>
      <c r="F547">
        <v>550</v>
      </c>
      <c r="H547">
        <f t="shared" si="18"/>
        <v>6</v>
      </c>
      <c r="I547">
        <f t="shared" si="19"/>
        <v>2021</v>
      </c>
    </row>
    <row r="548" spans="1:9" x14ac:dyDescent="0.3">
      <c r="A548" s="1">
        <v>44375</v>
      </c>
      <c r="B548" t="s">
        <v>130</v>
      </c>
      <c r="C548" t="s">
        <v>204</v>
      </c>
      <c r="D548" t="s">
        <v>5</v>
      </c>
      <c r="E548" t="s">
        <v>115</v>
      </c>
      <c r="F548">
        <v>650</v>
      </c>
      <c r="H548">
        <f t="shared" si="18"/>
        <v>6</v>
      </c>
      <c r="I548">
        <f t="shared" si="19"/>
        <v>2021</v>
      </c>
    </row>
    <row r="549" spans="1:9" x14ac:dyDescent="0.3">
      <c r="A549" s="1">
        <v>44375</v>
      </c>
      <c r="B549" t="s">
        <v>130</v>
      </c>
      <c r="C549" t="s">
        <v>108</v>
      </c>
      <c r="D549" t="s">
        <v>5</v>
      </c>
      <c r="E549" t="s">
        <v>69</v>
      </c>
      <c r="F549">
        <v>550</v>
      </c>
      <c r="H549">
        <f t="shared" si="18"/>
        <v>6</v>
      </c>
      <c r="I549">
        <f t="shared" si="19"/>
        <v>2021</v>
      </c>
    </row>
    <row r="550" spans="1:9" x14ac:dyDescent="0.3">
      <c r="A550" s="1">
        <v>44370</v>
      </c>
      <c r="B550" t="s">
        <v>32</v>
      </c>
      <c r="G550">
        <v>3280</v>
      </c>
      <c r="H550">
        <f t="shared" si="18"/>
        <v>6</v>
      </c>
      <c r="I550">
        <f t="shared" si="19"/>
        <v>2021</v>
      </c>
    </row>
    <row r="551" spans="1:9" x14ac:dyDescent="0.3">
      <c r="A551" s="1">
        <v>44370</v>
      </c>
      <c r="B551" t="s">
        <v>32</v>
      </c>
      <c r="C551" t="s">
        <v>33</v>
      </c>
      <c r="D551" t="s">
        <v>18</v>
      </c>
      <c r="E551" t="s">
        <v>34</v>
      </c>
      <c r="F551">
        <v>3280</v>
      </c>
      <c r="H551">
        <f t="shared" si="18"/>
        <v>6</v>
      </c>
      <c r="I551">
        <f t="shared" si="19"/>
        <v>2021</v>
      </c>
    </row>
    <row r="552" spans="1:9" x14ac:dyDescent="0.3">
      <c r="A552" s="1">
        <v>44377</v>
      </c>
      <c r="B552" t="s">
        <v>193</v>
      </c>
      <c r="G552">
        <v>30130</v>
      </c>
      <c r="H552">
        <f t="shared" si="18"/>
        <v>6</v>
      </c>
      <c r="I552">
        <f t="shared" si="19"/>
        <v>2021</v>
      </c>
    </row>
    <row r="553" spans="1:9" x14ac:dyDescent="0.3">
      <c r="A553" s="1">
        <v>44377</v>
      </c>
      <c r="B553" t="s">
        <v>193</v>
      </c>
      <c r="C553" t="s">
        <v>33</v>
      </c>
      <c r="D553" t="s">
        <v>163</v>
      </c>
      <c r="E553" t="s">
        <v>312</v>
      </c>
      <c r="F553">
        <v>9811</v>
      </c>
      <c r="H553">
        <f t="shared" si="18"/>
        <v>6</v>
      </c>
      <c r="I553">
        <f t="shared" si="19"/>
        <v>2021</v>
      </c>
    </row>
    <row r="554" spans="1:9" x14ac:dyDescent="0.3">
      <c r="A554" s="1">
        <v>44377</v>
      </c>
      <c r="B554" t="s">
        <v>193</v>
      </c>
      <c r="C554" t="s">
        <v>22</v>
      </c>
      <c r="D554" t="s">
        <v>15</v>
      </c>
      <c r="E554" t="s">
        <v>261</v>
      </c>
      <c r="F554">
        <v>10000</v>
      </c>
      <c r="H554">
        <f t="shared" si="18"/>
        <v>6</v>
      </c>
      <c r="I554">
        <f t="shared" si="19"/>
        <v>2021</v>
      </c>
    </row>
    <row r="555" spans="1:9" x14ac:dyDescent="0.3">
      <c r="A555" s="1">
        <v>44377</v>
      </c>
      <c r="B555" t="s">
        <v>193</v>
      </c>
      <c r="C555" t="s">
        <v>211</v>
      </c>
      <c r="D555" t="s">
        <v>16</v>
      </c>
      <c r="E555" t="s">
        <v>79</v>
      </c>
      <c r="F555">
        <v>5040</v>
      </c>
      <c r="H555">
        <f t="shared" si="18"/>
        <v>6</v>
      </c>
      <c r="I555">
        <f t="shared" si="19"/>
        <v>2021</v>
      </c>
    </row>
    <row r="556" spans="1:9" x14ac:dyDescent="0.3">
      <c r="A556" s="1">
        <v>44377</v>
      </c>
      <c r="B556" t="s">
        <v>193</v>
      </c>
      <c r="C556" t="s">
        <v>213</v>
      </c>
      <c r="D556" t="s">
        <v>17</v>
      </c>
      <c r="E556" t="s">
        <v>258</v>
      </c>
      <c r="F556">
        <v>5280</v>
      </c>
      <c r="H556">
        <f t="shared" si="18"/>
        <v>6</v>
      </c>
      <c r="I556">
        <f t="shared" si="19"/>
        <v>2021</v>
      </c>
    </row>
    <row r="557" spans="1:9" x14ac:dyDescent="0.3">
      <c r="A557" s="1">
        <v>44370</v>
      </c>
      <c r="B557" t="s">
        <v>85</v>
      </c>
      <c r="G557">
        <v>2750</v>
      </c>
      <c r="H557">
        <f t="shared" si="18"/>
        <v>6</v>
      </c>
      <c r="I557">
        <f t="shared" si="19"/>
        <v>2021</v>
      </c>
    </row>
    <row r="558" spans="1:9" x14ac:dyDescent="0.3">
      <c r="A558" s="1">
        <v>44370</v>
      </c>
      <c r="B558" t="s">
        <v>85</v>
      </c>
      <c r="C558" t="s">
        <v>22</v>
      </c>
      <c r="D558" t="s">
        <v>37</v>
      </c>
      <c r="E558" t="s">
        <v>210</v>
      </c>
      <c r="F558">
        <v>2780</v>
      </c>
      <c r="H558">
        <f t="shared" si="18"/>
        <v>6</v>
      </c>
      <c r="I558">
        <f t="shared" si="19"/>
        <v>2021</v>
      </c>
    </row>
    <row r="559" spans="1:9" x14ac:dyDescent="0.3">
      <c r="A559" s="1">
        <v>44365</v>
      </c>
      <c r="B559" t="s">
        <v>47</v>
      </c>
      <c r="G559">
        <v>9882</v>
      </c>
      <c r="H559">
        <f t="shared" si="18"/>
        <v>6</v>
      </c>
      <c r="I559">
        <f t="shared" si="19"/>
        <v>2021</v>
      </c>
    </row>
    <row r="560" spans="1:9" x14ac:dyDescent="0.3">
      <c r="A560" s="1">
        <v>44365</v>
      </c>
      <c r="B560" t="s">
        <v>47</v>
      </c>
      <c r="C560" t="s">
        <v>22</v>
      </c>
      <c r="D560" t="s">
        <v>15</v>
      </c>
      <c r="E560" t="s">
        <v>303</v>
      </c>
      <c r="F560">
        <v>9882</v>
      </c>
      <c r="H560">
        <f t="shared" si="18"/>
        <v>6</v>
      </c>
      <c r="I560">
        <f t="shared" si="19"/>
        <v>2021</v>
      </c>
    </row>
    <row r="561" spans="1:9" x14ac:dyDescent="0.3">
      <c r="A561" s="1">
        <v>44365</v>
      </c>
      <c r="B561" t="s">
        <v>75</v>
      </c>
      <c r="G561">
        <v>27230</v>
      </c>
      <c r="H561">
        <f t="shared" si="18"/>
        <v>6</v>
      </c>
      <c r="I561">
        <f t="shared" si="19"/>
        <v>2021</v>
      </c>
    </row>
    <row r="562" spans="1:9" x14ac:dyDescent="0.3">
      <c r="A562" s="1">
        <v>44365</v>
      </c>
      <c r="B562" t="s">
        <v>75</v>
      </c>
      <c r="C562" t="s">
        <v>40</v>
      </c>
      <c r="D562" t="s">
        <v>37</v>
      </c>
      <c r="E562" t="s">
        <v>104</v>
      </c>
      <c r="F562">
        <v>3300</v>
      </c>
      <c r="H562">
        <f t="shared" si="18"/>
        <v>6</v>
      </c>
      <c r="I562">
        <f t="shared" si="19"/>
        <v>2021</v>
      </c>
    </row>
    <row r="563" spans="1:9" x14ac:dyDescent="0.3">
      <c r="A563" s="1">
        <v>44365</v>
      </c>
      <c r="B563" t="s">
        <v>75</v>
      </c>
      <c r="C563" t="s">
        <v>94</v>
      </c>
      <c r="D563" t="s">
        <v>251</v>
      </c>
      <c r="E563" t="s">
        <v>186</v>
      </c>
      <c r="F563">
        <v>3800</v>
      </c>
      <c r="H563">
        <f t="shared" si="18"/>
        <v>6</v>
      </c>
      <c r="I563">
        <f t="shared" si="19"/>
        <v>2021</v>
      </c>
    </row>
    <row r="564" spans="1:9" x14ac:dyDescent="0.3">
      <c r="A564" s="1">
        <v>44365</v>
      </c>
      <c r="B564" t="s">
        <v>75</v>
      </c>
      <c r="C564" t="s">
        <v>301</v>
      </c>
      <c r="D564" t="s">
        <v>16</v>
      </c>
      <c r="E564" t="s">
        <v>79</v>
      </c>
      <c r="F564">
        <v>5040</v>
      </c>
      <c r="H564">
        <f t="shared" si="18"/>
        <v>6</v>
      </c>
      <c r="I564">
        <f t="shared" si="19"/>
        <v>2021</v>
      </c>
    </row>
    <row r="565" spans="1:9" x14ac:dyDescent="0.3">
      <c r="A565" s="1">
        <v>44365</v>
      </c>
      <c r="B565" t="s">
        <v>75</v>
      </c>
      <c r="C565" t="s">
        <v>213</v>
      </c>
      <c r="D565" t="s">
        <v>17</v>
      </c>
      <c r="E565" t="s">
        <v>214</v>
      </c>
      <c r="F565">
        <v>5160</v>
      </c>
      <c r="H565">
        <f t="shared" si="18"/>
        <v>6</v>
      </c>
      <c r="I565">
        <f t="shared" si="19"/>
        <v>2021</v>
      </c>
    </row>
    <row r="566" spans="1:9" x14ac:dyDescent="0.3">
      <c r="A566" s="1">
        <v>44365</v>
      </c>
      <c r="B566" t="s">
        <v>75</v>
      </c>
      <c r="C566" t="s">
        <v>22</v>
      </c>
      <c r="D566" t="s">
        <v>17</v>
      </c>
      <c r="E566" t="s">
        <v>302</v>
      </c>
      <c r="F566">
        <v>6660</v>
      </c>
      <c r="H566">
        <f t="shared" si="18"/>
        <v>6</v>
      </c>
      <c r="I566">
        <f t="shared" si="19"/>
        <v>2021</v>
      </c>
    </row>
    <row r="567" spans="1:9" x14ac:dyDescent="0.3">
      <c r="A567" s="1">
        <v>44365</v>
      </c>
      <c r="B567" t="s">
        <v>75</v>
      </c>
      <c r="C567" t="s">
        <v>33</v>
      </c>
      <c r="D567" t="s">
        <v>18</v>
      </c>
      <c r="E567" t="s">
        <v>164</v>
      </c>
      <c r="F567">
        <v>3270</v>
      </c>
      <c r="H567">
        <f t="shared" si="18"/>
        <v>6</v>
      </c>
      <c r="I567">
        <f t="shared" si="19"/>
        <v>2021</v>
      </c>
    </row>
    <row r="568" spans="1:9" x14ac:dyDescent="0.3">
      <c r="A568" s="1">
        <v>44377</v>
      </c>
      <c r="B568" t="s">
        <v>75</v>
      </c>
      <c r="G568">
        <v>14200</v>
      </c>
      <c r="H568">
        <f t="shared" si="18"/>
        <v>6</v>
      </c>
      <c r="I568">
        <f t="shared" si="19"/>
        <v>2021</v>
      </c>
    </row>
    <row r="569" spans="1:9" x14ac:dyDescent="0.3">
      <c r="A569" s="1">
        <v>44377</v>
      </c>
      <c r="B569" t="s">
        <v>75</v>
      </c>
      <c r="C569" t="s">
        <v>94</v>
      </c>
      <c r="D569" t="s">
        <v>288</v>
      </c>
      <c r="E569" t="s">
        <v>186</v>
      </c>
      <c r="F569">
        <v>7600</v>
      </c>
      <c r="H569">
        <f t="shared" si="18"/>
        <v>6</v>
      </c>
      <c r="I569">
        <f t="shared" si="19"/>
        <v>2021</v>
      </c>
    </row>
    <row r="570" spans="1:9" x14ac:dyDescent="0.3">
      <c r="A570" s="1">
        <v>44377</v>
      </c>
      <c r="B570" t="s">
        <v>75</v>
      </c>
      <c r="C570" t="s">
        <v>40</v>
      </c>
      <c r="D570" t="s">
        <v>9</v>
      </c>
      <c r="E570" t="s">
        <v>104</v>
      </c>
      <c r="F570">
        <v>6600</v>
      </c>
      <c r="H570">
        <f t="shared" si="18"/>
        <v>6</v>
      </c>
      <c r="I570">
        <f t="shared" si="19"/>
        <v>2021</v>
      </c>
    </row>
    <row r="571" spans="1:9" x14ac:dyDescent="0.3">
      <c r="A571" s="1">
        <v>44370</v>
      </c>
      <c r="B571" t="s">
        <v>195</v>
      </c>
      <c r="G571">
        <v>2445</v>
      </c>
      <c r="H571">
        <f t="shared" si="18"/>
        <v>6</v>
      </c>
      <c r="I571">
        <f t="shared" si="19"/>
        <v>2021</v>
      </c>
    </row>
    <row r="572" spans="1:9" x14ac:dyDescent="0.3">
      <c r="A572" s="1">
        <v>44370</v>
      </c>
      <c r="B572" t="s">
        <v>195</v>
      </c>
      <c r="C572" t="s">
        <v>22</v>
      </c>
      <c r="D572" t="s">
        <v>18</v>
      </c>
      <c r="E572" t="s">
        <v>309</v>
      </c>
      <c r="F572">
        <v>1670</v>
      </c>
      <c r="H572">
        <f t="shared" si="18"/>
        <v>6</v>
      </c>
      <c r="I572">
        <f t="shared" si="19"/>
        <v>2021</v>
      </c>
    </row>
    <row r="573" spans="1:9" x14ac:dyDescent="0.3">
      <c r="A573" s="1">
        <v>44370</v>
      </c>
      <c r="B573" t="s">
        <v>195</v>
      </c>
      <c r="C573" t="s">
        <v>259</v>
      </c>
      <c r="D573" t="s">
        <v>37</v>
      </c>
      <c r="E573" t="s">
        <v>260</v>
      </c>
      <c r="F573">
        <v>775</v>
      </c>
      <c r="H573">
        <f t="shared" si="18"/>
        <v>6</v>
      </c>
      <c r="I573">
        <f t="shared" si="19"/>
        <v>2021</v>
      </c>
    </row>
    <row r="574" spans="1:9" x14ac:dyDescent="0.3">
      <c r="A574" s="1">
        <v>44356</v>
      </c>
      <c r="B574" t="s">
        <v>24</v>
      </c>
      <c r="G574">
        <v>-655</v>
      </c>
      <c r="H574">
        <f t="shared" si="18"/>
        <v>6</v>
      </c>
      <c r="I574">
        <f t="shared" si="19"/>
        <v>2021</v>
      </c>
    </row>
    <row r="575" spans="1:9" x14ac:dyDescent="0.3">
      <c r="A575" s="1">
        <v>44357</v>
      </c>
      <c r="B575" t="s">
        <v>24</v>
      </c>
      <c r="G575">
        <v>-85</v>
      </c>
      <c r="H575">
        <f t="shared" si="18"/>
        <v>6</v>
      </c>
      <c r="I575">
        <f t="shared" si="19"/>
        <v>2021</v>
      </c>
    </row>
    <row r="576" spans="1:9" x14ac:dyDescent="0.3">
      <c r="A576" s="1">
        <v>44370</v>
      </c>
      <c r="B576" t="s">
        <v>24</v>
      </c>
      <c r="G576">
        <v>-30</v>
      </c>
      <c r="H576">
        <f t="shared" si="18"/>
        <v>6</v>
      </c>
      <c r="I576">
        <f t="shared" si="19"/>
        <v>2021</v>
      </c>
    </row>
    <row r="577" spans="1:9" x14ac:dyDescent="0.3">
      <c r="A577" s="1">
        <v>44375</v>
      </c>
      <c r="B577" t="s">
        <v>24</v>
      </c>
      <c r="G577">
        <v>-300</v>
      </c>
      <c r="H577">
        <f t="shared" si="18"/>
        <v>6</v>
      </c>
      <c r="I577">
        <f t="shared" si="19"/>
        <v>2021</v>
      </c>
    </row>
    <row r="578" spans="1:9" x14ac:dyDescent="0.3">
      <c r="A578" s="1">
        <v>44377</v>
      </c>
      <c r="B578" t="s">
        <v>24</v>
      </c>
      <c r="G578">
        <v>-1</v>
      </c>
      <c r="H578">
        <f t="shared" si="18"/>
        <v>6</v>
      </c>
      <c r="I578">
        <f t="shared" si="19"/>
        <v>2021</v>
      </c>
    </row>
    <row r="579" spans="1:9" x14ac:dyDescent="0.3">
      <c r="A579" s="1">
        <v>44377</v>
      </c>
      <c r="B579" t="s">
        <v>158</v>
      </c>
      <c r="G579">
        <v>2600</v>
      </c>
      <c r="H579">
        <f t="shared" si="18"/>
        <v>6</v>
      </c>
      <c r="I579">
        <f t="shared" si="19"/>
        <v>2021</v>
      </c>
    </row>
    <row r="580" spans="1:9" x14ac:dyDescent="0.3">
      <c r="A580" s="1">
        <v>44377</v>
      </c>
      <c r="B580" t="s">
        <v>158</v>
      </c>
      <c r="C580" t="s">
        <v>94</v>
      </c>
      <c r="D580" t="s">
        <v>174</v>
      </c>
      <c r="E580" t="s">
        <v>186</v>
      </c>
      <c r="F580">
        <v>950</v>
      </c>
      <c r="H580">
        <f t="shared" si="18"/>
        <v>6</v>
      </c>
      <c r="I580">
        <f t="shared" si="19"/>
        <v>2021</v>
      </c>
    </row>
    <row r="581" spans="1:9" x14ac:dyDescent="0.3">
      <c r="A581" s="1">
        <v>44377</v>
      </c>
      <c r="B581" t="s">
        <v>158</v>
      </c>
      <c r="C581" t="s">
        <v>40</v>
      </c>
      <c r="D581" t="s">
        <v>25</v>
      </c>
      <c r="E581" t="s">
        <v>104</v>
      </c>
      <c r="F581">
        <v>1650</v>
      </c>
      <c r="H581">
        <f t="shared" si="18"/>
        <v>6</v>
      </c>
      <c r="I581">
        <f t="shared" si="19"/>
        <v>2021</v>
      </c>
    </row>
    <row r="582" spans="1:9" x14ac:dyDescent="0.3">
      <c r="A582" s="1">
        <v>44354</v>
      </c>
      <c r="B582" t="s">
        <v>299</v>
      </c>
      <c r="G582">
        <v>6750</v>
      </c>
      <c r="H582">
        <f t="shared" si="18"/>
        <v>6</v>
      </c>
      <c r="I582">
        <f t="shared" si="19"/>
        <v>2021</v>
      </c>
    </row>
    <row r="583" spans="1:9" x14ac:dyDescent="0.3">
      <c r="A583" s="1">
        <v>44354</v>
      </c>
      <c r="B583" t="s">
        <v>299</v>
      </c>
      <c r="C583" t="s">
        <v>38</v>
      </c>
      <c r="D583" t="s">
        <v>37</v>
      </c>
      <c r="E583" t="s">
        <v>13</v>
      </c>
      <c r="F583">
        <v>3450</v>
      </c>
      <c r="H583">
        <f t="shared" si="18"/>
        <v>6</v>
      </c>
      <c r="I583">
        <f t="shared" si="19"/>
        <v>2021</v>
      </c>
    </row>
    <row r="584" spans="1:9" x14ac:dyDescent="0.3">
      <c r="A584" s="1">
        <v>44354</v>
      </c>
      <c r="B584" t="s">
        <v>299</v>
      </c>
      <c r="C584" t="s">
        <v>40</v>
      </c>
      <c r="D584" t="s">
        <v>37</v>
      </c>
      <c r="E584" t="s">
        <v>104</v>
      </c>
      <c r="F584">
        <v>3300</v>
      </c>
      <c r="H584">
        <f t="shared" si="18"/>
        <v>6</v>
      </c>
      <c r="I584">
        <f t="shared" si="19"/>
        <v>2021</v>
      </c>
    </row>
    <row r="585" spans="1:9" x14ac:dyDescent="0.3">
      <c r="A585" s="1">
        <v>44362</v>
      </c>
      <c r="B585" t="s">
        <v>299</v>
      </c>
      <c r="G585">
        <v>7675</v>
      </c>
      <c r="H585">
        <f t="shared" si="18"/>
        <v>6</v>
      </c>
      <c r="I585">
        <f t="shared" si="19"/>
        <v>2021</v>
      </c>
    </row>
    <row r="586" spans="1:9" x14ac:dyDescent="0.3">
      <c r="A586" s="1">
        <v>44362</v>
      </c>
      <c r="B586" t="s">
        <v>299</v>
      </c>
      <c r="C586" t="s">
        <v>40</v>
      </c>
      <c r="D586" t="s">
        <v>9</v>
      </c>
      <c r="E586" t="s">
        <v>104</v>
      </c>
      <c r="F586">
        <v>6600</v>
      </c>
      <c r="H586">
        <f t="shared" si="18"/>
        <v>6</v>
      </c>
      <c r="I586">
        <f t="shared" si="19"/>
        <v>2021</v>
      </c>
    </row>
    <row r="587" spans="1:9" x14ac:dyDescent="0.3">
      <c r="A587" s="1">
        <v>44362</v>
      </c>
      <c r="B587" t="s">
        <v>299</v>
      </c>
      <c r="C587" t="s">
        <v>293</v>
      </c>
      <c r="D587" t="s">
        <v>25</v>
      </c>
      <c r="E587" t="s">
        <v>214</v>
      </c>
      <c r="F587">
        <v>1075</v>
      </c>
      <c r="H587">
        <f t="shared" ref="H587:H637" si="20">MONTH(A587)</f>
        <v>6</v>
      </c>
      <c r="I587">
        <f t="shared" ref="I587:I637" si="21">YEAR(A587)</f>
        <v>2021</v>
      </c>
    </row>
    <row r="588" spans="1:9" x14ac:dyDescent="0.3">
      <c r="A588" s="1">
        <v>44365</v>
      </c>
      <c r="B588" t="s">
        <v>299</v>
      </c>
      <c r="G588">
        <v>7600</v>
      </c>
      <c r="H588">
        <f t="shared" si="20"/>
        <v>6</v>
      </c>
      <c r="I588">
        <f t="shared" si="21"/>
        <v>2021</v>
      </c>
    </row>
    <row r="589" spans="1:9" x14ac:dyDescent="0.3">
      <c r="A589" s="1">
        <v>44365</v>
      </c>
      <c r="B589" t="s">
        <v>299</v>
      </c>
      <c r="C589" t="s">
        <v>94</v>
      </c>
      <c r="D589" t="s">
        <v>288</v>
      </c>
      <c r="E589" t="s">
        <v>186</v>
      </c>
      <c r="F589">
        <v>7600</v>
      </c>
      <c r="H589">
        <f t="shared" si="20"/>
        <v>6</v>
      </c>
      <c r="I589">
        <f t="shared" si="21"/>
        <v>2021</v>
      </c>
    </row>
    <row r="590" spans="1:9" x14ac:dyDescent="0.3">
      <c r="A590" s="1">
        <v>44349</v>
      </c>
      <c r="B590" t="s">
        <v>3</v>
      </c>
      <c r="G590">
        <v>2780</v>
      </c>
      <c r="H590">
        <f t="shared" si="20"/>
        <v>6</v>
      </c>
      <c r="I590">
        <f t="shared" si="21"/>
        <v>2021</v>
      </c>
    </row>
    <row r="591" spans="1:9" x14ac:dyDescent="0.3">
      <c r="A591" s="1">
        <v>44349</v>
      </c>
      <c r="B591" t="s">
        <v>3</v>
      </c>
      <c r="C591" t="s">
        <v>22</v>
      </c>
      <c r="D591" t="s">
        <v>37</v>
      </c>
      <c r="E591" t="s">
        <v>210</v>
      </c>
      <c r="F591">
        <v>2780</v>
      </c>
      <c r="H591">
        <f t="shared" si="20"/>
        <v>6</v>
      </c>
      <c r="I591">
        <f t="shared" si="21"/>
        <v>2021</v>
      </c>
    </row>
    <row r="592" spans="1:9" x14ac:dyDescent="0.3">
      <c r="A592" s="1">
        <v>44351</v>
      </c>
      <c r="B592" t="s">
        <v>3</v>
      </c>
      <c r="G592">
        <v>2120</v>
      </c>
      <c r="H592">
        <f t="shared" si="20"/>
        <v>6</v>
      </c>
      <c r="I592">
        <f t="shared" si="21"/>
        <v>2021</v>
      </c>
    </row>
    <row r="593" spans="1:9" x14ac:dyDescent="0.3">
      <c r="A593" s="1">
        <v>44351</v>
      </c>
      <c r="B593" t="s">
        <v>3</v>
      </c>
      <c r="C593" t="s">
        <v>231</v>
      </c>
      <c r="D593" t="s">
        <v>5</v>
      </c>
      <c r="E593" t="s">
        <v>69</v>
      </c>
      <c r="F593">
        <v>550</v>
      </c>
      <c r="H593">
        <f t="shared" si="20"/>
        <v>6</v>
      </c>
      <c r="I593">
        <f t="shared" si="21"/>
        <v>2021</v>
      </c>
    </row>
    <row r="594" spans="1:9" x14ac:dyDescent="0.3">
      <c r="A594" s="1">
        <v>44351</v>
      </c>
      <c r="B594" t="s">
        <v>3</v>
      </c>
      <c r="C594" t="s">
        <v>175</v>
      </c>
      <c r="D594" t="s">
        <v>5</v>
      </c>
      <c r="E594" t="s">
        <v>69</v>
      </c>
      <c r="F594">
        <v>550</v>
      </c>
      <c r="H594">
        <f t="shared" si="20"/>
        <v>6</v>
      </c>
      <c r="I594">
        <f t="shared" si="21"/>
        <v>2021</v>
      </c>
    </row>
    <row r="595" spans="1:9" x14ac:dyDescent="0.3">
      <c r="A595" s="1">
        <v>44351</v>
      </c>
      <c r="B595" t="s">
        <v>3</v>
      </c>
      <c r="C595" t="s">
        <v>142</v>
      </c>
      <c r="D595" t="s">
        <v>5</v>
      </c>
      <c r="E595" t="s">
        <v>31</v>
      </c>
      <c r="F595">
        <v>520</v>
      </c>
      <c r="H595">
        <f t="shared" si="20"/>
        <v>6</v>
      </c>
      <c r="I595">
        <f t="shared" si="21"/>
        <v>2021</v>
      </c>
    </row>
    <row r="596" spans="1:9" x14ac:dyDescent="0.3">
      <c r="A596" s="1">
        <v>44351</v>
      </c>
      <c r="B596" t="s">
        <v>3</v>
      </c>
      <c r="C596" t="s">
        <v>266</v>
      </c>
      <c r="D596" t="s">
        <v>23</v>
      </c>
      <c r="E596" t="s">
        <v>296</v>
      </c>
      <c r="F596">
        <v>500</v>
      </c>
      <c r="H596">
        <f t="shared" si="20"/>
        <v>6</v>
      </c>
      <c r="I596">
        <f t="shared" si="21"/>
        <v>2021</v>
      </c>
    </row>
    <row r="597" spans="1:9" x14ac:dyDescent="0.3">
      <c r="A597" s="1">
        <v>44352</v>
      </c>
      <c r="B597" t="s">
        <v>3</v>
      </c>
      <c r="G597">
        <v>6010</v>
      </c>
      <c r="H597">
        <f t="shared" si="20"/>
        <v>6</v>
      </c>
      <c r="I597">
        <f t="shared" si="21"/>
        <v>2021</v>
      </c>
    </row>
    <row r="598" spans="1:9" x14ac:dyDescent="0.3">
      <c r="A598" s="1">
        <v>44352</v>
      </c>
      <c r="B598" t="s">
        <v>3</v>
      </c>
      <c r="C598" t="s">
        <v>188</v>
      </c>
      <c r="D598" t="s">
        <v>5</v>
      </c>
      <c r="E598" t="s">
        <v>189</v>
      </c>
      <c r="F598">
        <v>765</v>
      </c>
      <c r="H598">
        <f t="shared" si="20"/>
        <v>6</v>
      </c>
      <c r="I598">
        <f t="shared" si="21"/>
        <v>2021</v>
      </c>
    </row>
    <row r="599" spans="1:9" x14ac:dyDescent="0.3">
      <c r="A599" s="1">
        <v>44352</v>
      </c>
      <c r="B599" t="s">
        <v>3</v>
      </c>
      <c r="C599" t="s">
        <v>216</v>
      </c>
      <c r="D599" t="s">
        <v>5</v>
      </c>
      <c r="E599" t="s">
        <v>297</v>
      </c>
      <c r="F599">
        <v>615</v>
      </c>
      <c r="H599">
        <f t="shared" si="20"/>
        <v>6</v>
      </c>
      <c r="I599">
        <f t="shared" si="21"/>
        <v>2021</v>
      </c>
    </row>
    <row r="600" spans="1:9" x14ac:dyDescent="0.3">
      <c r="A600" s="1">
        <v>44352</v>
      </c>
      <c r="B600" t="s">
        <v>3</v>
      </c>
      <c r="C600" t="s">
        <v>38</v>
      </c>
      <c r="D600" t="s">
        <v>5</v>
      </c>
      <c r="E600" t="s">
        <v>100</v>
      </c>
      <c r="F600">
        <v>350</v>
      </c>
      <c r="H600">
        <f t="shared" si="20"/>
        <v>6</v>
      </c>
      <c r="I600">
        <f t="shared" si="21"/>
        <v>2021</v>
      </c>
    </row>
    <row r="601" spans="1:9" x14ac:dyDescent="0.3">
      <c r="A601" s="1">
        <v>44352</v>
      </c>
      <c r="B601" t="s">
        <v>3</v>
      </c>
      <c r="C601" t="s">
        <v>40</v>
      </c>
      <c r="D601" t="s">
        <v>5</v>
      </c>
      <c r="E601" t="s">
        <v>104</v>
      </c>
      <c r="F601">
        <v>330</v>
      </c>
      <c r="H601">
        <f t="shared" si="20"/>
        <v>6</v>
      </c>
      <c r="I601">
        <f t="shared" si="21"/>
        <v>2021</v>
      </c>
    </row>
    <row r="602" spans="1:9" x14ac:dyDescent="0.3">
      <c r="A602" s="1">
        <v>44352</v>
      </c>
      <c r="B602" t="s">
        <v>3</v>
      </c>
      <c r="C602" t="s">
        <v>94</v>
      </c>
      <c r="D602" t="s">
        <v>137</v>
      </c>
      <c r="E602" t="s">
        <v>186</v>
      </c>
      <c r="F602">
        <v>380</v>
      </c>
      <c r="H602">
        <f t="shared" si="20"/>
        <v>6</v>
      </c>
      <c r="I602">
        <f t="shared" si="21"/>
        <v>2021</v>
      </c>
    </row>
    <row r="603" spans="1:9" x14ac:dyDescent="0.3">
      <c r="A603" s="1">
        <v>44352</v>
      </c>
      <c r="B603" t="s">
        <v>3</v>
      </c>
      <c r="C603" t="s">
        <v>38</v>
      </c>
      <c r="D603" t="s">
        <v>23</v>
      </c>
      <c r="E603" t="s">
        <v>100</v>
      </c>
      <c r="F603">
        <v>1050</v>
      </c>
      <c r="H603">
        <f t="shared" si="20"/>
        <v>6</v>
      </c>
      <c r="I603">
        <f t="shared" si="21"/>
        <v>2021</v>
      </c>
    </row>
    <row r="604" spans="1:9" x14ac:dyDescent="0.3">
      <c r="A604" s="1">
        <v>44352</v>
      </c>
      <c r="B604" t="s">
        <v>3</v>
      </c>
      <c r="C604" t="s">
        <v>40</v>
      </c>
      <c r="D604" t="s">
        <v>5</v>
      </c>
      <c r="E604" t="s">
        <v>118</v>
      </c>
      <c r="F604">
        <v>340</v>
      </c>
      <c r="H604">
        <f t="shared" si="20"/>
        <v>6</v>
      </c>
      <c r="I604">
        <f t="shared" si="21"/>
        <v>2021</v>
      </c>
    </row>
    <row r="605" spans="1:9" x14ac:dyDescent="0.3">
      <c r="A605" s="1">
        <v>44352</v>
      </c>
      <c r="B605" t="s">
        <v>3</v>
      </c>
      <c r="C605" t="s">
        <v>94</v>
      </c>
      <c r="D605" t="s">
        <v>137</v>
      </c>
      <c r="E605" t="s">
        <v>263</v>
      </c>
      <c r="F605">
        <v>390</v>
      </c>
      <c r="H605">
        <f t="shared" si="20"/>
        <v>6</v>
      </c>
      <c r="I605">
        <f t="shared" si="21"/>
        <v>2021</v>
      </c>
    </row>
    <row r="606" spans="1:9" x14ac:dyDescent="0.3">
      <c r="A606" s="1">
        <v>44352</v>
      </c>
      <c r="B606" t="s">
        <v>3</v>
      </c>
      <c r="C606" t="s">
        <v>40</v>
      </c>
      <c r="D606" t="s">
        <v>5</v>
      </c>
      <c r="E606" t="s">
        <v>118</v>
      </c>
      <c r="F606">
        <v>340</v>
      </c>
      <c r="H606">
        <f t="shared" si="20"/>
        <v>6</v>
      </c>
      <c r="I606">
        <f t="shared" si="21"/>
        <v>2021</v>
      </c>
    </row>
    <row r="607" spans="1:9" x14ac:dyDescent="0.3">
      <c r="A607" s="1">
        <v>44352</v>
      </c>
      <c r="B607" t="s">
        <v>3</v>
      </c>
      <c r="C607" t="s">
        <v>94</v>
      </c>
      <c r="D607" t="s">
        <v>137</v>
      </c>
      <c r="E607" t="s">
        <v>263</v>
      </c>
      <c r="F607">
        <v>390</v>
      </c>
      <c r="H607">
        <f t="shared" si="20"/>
        <v>6</v>
      </c>
      <c r="I607">
        <f t="shared" si="21"/>
        <v>2021</v>
      </c>
    </row>
    <row r="608" spans="1:9" x14ac:dyDescent="0.3">
      <c r="A608" s="1">
        <v>44356</v>
      </c>
      <c r="B608" t="s">
        <v>3</v>
      </c>
      <c r="G608">
        <v>3390</v>
      </c>
      <c r="H608">
        <f t="shared" si="20"/>
        <v>6</v>
      </c>
      <c r="I608">
        <f t="shared" si="21"/>
        <v>2021</v>
      </c>
    </row>
    <row r="609" spans="1:9" x14ac:dyDescent="0.3">
      <c r="A609" s="1">
        <v>44356</v>
      </c>
      <c r="B609" t="s">
        <v>3</v>
      </c>
      <c r="C609" t="s">
        <v>94</v>
      </c>
      <c r="D609" t="s">
        <v>218</v>
      </c>
      <c r="E609" t="s">
        <v>263</v>
      </c>
      <c r="F609">
        <v>585</v>
      </c>
      <c r="H609">
        <f t="shared" si="20"/>
        <v>6</v>
      </c>
      <c r="I609">
        <f t="shared" si="21"/>
        <v>2021</v>
      </c>
    </row>
    <row r="610" spans="1:9" x14ac:dyDescent="0.3">
      <c r="A610" s="1">
        <v>44356</v>
      </c>
      <c r="B610" t="s">
        <v>3</v>
      </c>
      <c r="C610" t="s">
        <v>219</v>
      </c>
      <c r="D610" t="s">
        <v>5</v>
      </c>
      <c r="E610" t="s">
        <v>199</v>
      </c>
      <c r="F610">
        <v>780</v>
      </c>
      <c r="H610">
        <f t="shared" si="20"/>
        <v>6</v>
      </c>
      <c r="I610">
        <f t="shared" si="21"/>
        <v>2021</v>
      </c>
    </row>
    <row r="611" spans="1:9" x14ac:dyDescent="0.3">
      <c r="A611" s="1">
        <v>44356</v>
      </c>
      <c r="B611" t="s">
        <v>3</v>
      </c>
      <c r="C611" t="s">
        <v>91</v>
      </c>
      <c r="D611" t="s">
        <v>5</v>
      </c>
      <c r="E611" t="s">
        <v>92</v>
      </c>
      <c r="F611">
        <v>160</v>
      </c>
      <c r="H611">
        <f t="shared" si="20"/>
        <v>6</v>
      </c>
      <c r="I611">
        <f t="shared" si="21"/>
        <v>2021</v>
      </c>
    </row>
    <row r="612" spans="1:9" x14ac:dyDescent="0.3">
      <c r="A612" s="1">
        <v>44356</v>
      </c>
      <c r="B612" t="s">
        <v>3</v>
      </c>
      <c r="C612" t="s">
        <v>211</v>
      </c>
      <c r="D612" t="s">
        <v>18</v>
      </c>
      <c r="E612" t="s">
        <v>79</v>
      </c>
      <c r="F612">
        <v>2520</v>
      </c>
      <c r="H612">
        <f t="shared" si="20"/>
        <v>6</v>
      </c>
      <c r="I612">
        <f t="shared" si="21"/>
        <v>2021</v>
      </c>
    </row>
    <row r="613" spans="1:9" x14ac:dyDescent="0.3">
      <c r="A613" s="1">
        <v>44362</v>
      </c>
      <c r="B613" t="s">
        <v>3</v>
      </c>
      <c r="G613">
        <v>2500</v>
      </c>
      <c r="H613">
        <f t="shared" si="20"/>
        <v>6</v>
      </c>
      <c r="I613">
        <f t="shared" si="21"/>
        <v>2021</v>
      </c>
    </row>
    <row r="614" spans="1:9" x14ac:dyDescent="0.3">
      <c r="A614" s="1">
        <v>44362</v>
      </c>
      <c r="B614" t="s">
        <v>3</v>
      </c>
      <c r="C614" t="s">
        <v>271</v>
      </c>
      <c r="D614" t="s">
        <v>5</v>
      </c>
      <c r="E614" t="s">
        <v>300</v>
      </c>
      <c r="F614">
        <v>2500</v>
      </c>
      <c r="H614">
        <f t="shared" si="20"/>
        <v>6</v>
      </c>
      <c r="I614">
        <f t="shared" si="21"/>
        <v>2021</v>
      </c>
    </row>
    <row r="615" spans="1:9" x14ac:dyDescent="0.3">
      <c r="A615" s="1">
        <v>44377</v>
      </c>
      <c r="B615" t="s">
        <v>3</v>
      </c>
      <c r="G615">
        <v>2490</v>
      </c>
      <c r="H615">
        <f t="shared" si="20"/>
        <v>6</v>
      </c>
      <c r="I615">
        <f t="shared" si="21"/>
        <v>2021</v>
      </c>
    </row>
    <row r="616" spans="1:9" x14ac:dyDescent="0.3">
      <c r="A616" s="1">
        <v>44377</v>
      </c>
      <c r="B616" t="s">
        <v>3</v>
      </c>
      <c r="C616" t="s">
        <v>148</v>
      </c>
      <c r="D616" t="s">
        <v>25</v>
      </c>
      <c r="E616" t="s">
        <v>177</v>
      </c>
      <c r="F616">
        <v>900</v>
      </c>
      <c r="H616">
        <f t="shared" si="20"/>
        <v>6</v>
      </c>
      <c r="I616">
        <f t="shared" si="21"/>
        <v>2021</v>
      </c>
    </row>
    <row r="617" spans="1:9" x14ac:dyDescent="0.3">
      <c r="A617" s="1">
        <v>44377</v>
      </c>
      <c r="B617" t="s">
        <v>3</v>
      </c>
      <c r="C617" t="s">
        <v>98</v>
      </c>
      <c r="D617" t="s">
        <v>23</v>
      </c>
      <c r="E617" t="s">
        <v>26</v>
      </c>
      <c r="F617">
        <v>1590</v>
      </c>
      <c r="H617">
        <f t="shared" si="20"/>
        <v>6</v>
      </c>
      <c r="I617">
        <f t="shared" si="21"/>
        <v>2021</v>
      </c>
    </row>
    <row r="618" spans="1:9" x14ac:dyDescent="0.3">
      <c r="A618" s="1">
        <v>44377</v>
      </c>
      <c r="B618" t="s">
        <v>3</v>
      </c>
      <c r="G618">
        <v>2625</v>
      </c>
      <c r="H618">
        <f t="shared" si="20"/>
        <v>6</v>
      </c>
      <c r="I618">
        <f t="shared" si="21"/>
        <v>2021</v>
      </c>
    </row>
    <row r="619" spans="1:9" x14ac:dyDescent="0.3">
      <c r="A619" s="1">
        <v>44377</v>
      </c>
      <c r="B619" t="s">
        <v>3</v>
      </c>
      <c r="C619" t="s">
        <v>94</v>
      </c>
      <c r="D619" t="s">
        <v>174</v>
      </c>
      <c r="E619" t="s">
        <v>186</v>
      </c>
      <c r="F619">
        <v>950</v>
      </c>
      <c r="H619">
        <f t="shared" si="20"/>
        <v>6</v>
      </c>
      <c r="I619">
        <f t="shared" si="21"/>
        <v>2021</v>
      </c>
    </row>
    <row r="620" spans="1:9" x14ac:dyDescent="0.3">
      <c r="A620" s="1">
        <v>44377</v>
      </c>
      <c r="B620" t="s">
        <v>3</v>
      </c>
      <c r="C620" t="s">
        <v>40</v>
      </c>
      <c r="D620" t="s">
        <v>25</v>
      </c>
      <c r="E620" t="s">
        <v>117</v>
      </c>
      <c r="F620">
        <v>1675</v>
      </c>
      <c r="H620">
        <f t="shared" si="20"/>
        <v>6</v>
      </c>
      <c r="I620">
        <f t="shared" si="21"/>
        <v>2021</v>
      </c>
    </row>
    <row r="621" spans="1:9" x14ac:dyDescent="0.3">
      <c r="A621" s="1">
        <v>44351</v>
      </c>
      <c r="B621" t="s">
        <v>55</v>
      </c>
      <c r="G621">
        <v>3300</v>
      </c>
      <c r="H621">
        <f t="shared" si="20"/>
        <v>6</v>
      </c>
      <c r="I621">
        <f t="shared" si="21"/>
        <v>2021</v>
      </c>
    </row>
    <row r="622" spans="1:9" x14ac:dyDescent="0.3">
      <c r="A622" s="1">
        <v>44351</v>
      </c>
      <c r="B622" t="s">
        <v>55</v>
      </c>
      <c r="C622" t="s">
        <v>40</v>
      </c>
      <c r="D622" t="s">
        <v>37</v>
      </c>
      <c r="E622" t="s">
        <v>104</v>
      </c>
      <c r="F622">
        <v>3300</v>
      </c>
      <c r="H622">
        <f t="shared" si="20"/>
        <v>6</v>
      </c>
      <c r="I622">
        <f t="shared" si="21"/>
        <v>2021</v>
      </c>
    </row>
    <row r="623" spans="1:9" x14ac:dyDescent="0.3">
      <c r="A623" s="1">
        <v>44359</v>
      </c>
      <c r="B623" t="s">
        <v>110</v>
      </c>
      <c r="G623">
        <v>12900</v>
      </c>
      <c r="H623">
        <f t="shared" si="20"/>
        <v>6</v>
      </c>
      <c r="I623">
        <f t="shared" si="21"/>
        <v>2021</v>
      </c>
    </row>
    <row r="624" spans="1:9" x14ac:dyDescent="0.3">
      <c r="A624" s="1">
        <v>44359</v>
      </c>
      <c r="B624" t="s">
        <v>110</v>
      </c>
      <c r="C624" t="s">
        <v>112</v>
      </c>
      <c r="D624" t="s">
        <v>9</v>
      </c>
      <c r="E624" t="s">
        <v>229</v>
      </c>
      <c r="F624">
        <v>12900</v>
      </c>
      <c r="H624">
        <f t="shared" si="20"/>
        <v>6</v>
      </c>
      <c r="I624">
        <f t="shared" si="21"/>
        <v>2021</v>
      </c>
    </row>
    <row r="625" spans="1:9" x14ac:dyDescent="0.3">
      <c r="A625" s="1">
        <v>44350</v>
      </c>
      <c r="B625" t="s">
        <v>48</v>
      </c>
      <c r="G625">
        <v>3300</v>
      </c>
      <c r="H625">
        <f t="shared" si="20"/>
        <v>6</v>
      </c>
      <c r="I625">
        <f t="shared" si="21"/>
        <v>2021</v>
      </c>
    </row>
    <row r="626" spans="1:9" x14ac:dyDescent="0.3">
      <c r="A626" s="1">
        <v>44350</v>
      </c>
      <c r="B626" t="s">
        <v>48</v>
      </c>
      <c r="C626" t="s">
        <v>40</v>
      </c>
      <c r="D626" t="s">
        <v>37</v>
      </c>
      <c r="E626" t="s">
        <v>104</v>
      </c>
      <c r="F626">
        <v>3300</v>
      </c>
      <c r="H626">
        <f t="shared" si="20"/>
        <v>6</v>
      </c>
      <c r="I626">
        <f t="shared" si="21"/>
        <v>2021</v>
      </c>
    </row>
    <row r="627" spans="1:9" x14ac:dyDescent="0.3">
      <c r="A627" s="1">
        <v>44354</v>
      </c>
      <c r="B627" t="s">
        <v>48</v>
      </c>
      <c r="G627">
        <v>1980</v>
      </c>
      <c r="H627">
        <f t="shared" si="20"/>
        <v>6</v>
      </c>
      <c r="I627">
        <f t="shared" si="21"/>
        <v>2021</v>
      </c>
    </row>
    <row r="628" spans="1:9" x14ac:dyDescent="0.3">
      <c r="A628" s="1">
        <v>44354</v>
      </c>
      <c r="B628" t="s">
        <v>48</v>
      </c>
      <c r="C628" t="s">
        <v>40</v>
      </c>
      <c r="D628" t="s">
        <v>18</v>
      </c>
      <c r="E628" t="s">
        <v>104</v>
      </c>
      <c r="F628">
        <v>1980</v>
      </c>
      <c r="H628">
        <f t="shared" si="20"/>
        <v>6</v>
      </c>
      <c r="I628">
        <f t="shared" si="21"/>
        <v>2021</v>
      </c>
    </row>
    <row r="629" spans="1:9" x14ac:dyDescent="0.3">
      <c r="A629" s="1">
        <v>44357</v>
      </c>
      <c r="B629" t="s">
        <v>48</v>
      </c>
      <c r="G629">
        <v>4950</v>
      </c>
      <c r="H629">
        <f t="shared" si="20"/>
        <v>6</v>
      </c>
      <c r="I629">
        <f t="shared" si="21"/>
        <v>2021</v>
      </c>
    </row>
    <row r="630" spans="1:9" x14ac:dyDescent="0.3">
      <c r="A630" s="1">
        <v>44357</v>
      </c>
      <c r="B630" t="s">
        <v>48</v>
      </c>
      <c r="C630" t="s">
        <v>40</v>
      </c>
      <c r="D630" t="s">
        <v>61</v>
      </c>
      <c r="E630" t="s">
        <v>104</v>
      </c>
      <c r="F630">
        <v>4950</v>
      </c>
      <c r="H630">
        <f t="shared" si="20"/>
        <v>6</v>
      </c>
      <c r="I630">
        <f t="shared" si="21"/>
        <v>2021</v>
      </c>
    </row>
    <row r="631" spans="1:9" x14ac:dyDescent="0.3">
      <c r="A631" s="1">
        <v>44360</v>
      </c>
      <c r="B631" t="s">
        <v>48</v>
      </c>
      <c r="G631">
        <v>2970</v>
      </c>
      <c r="H631">
        <f t="shared" si="20"/>
        <v>6</v>
      </c>
      <c r="I631">
        <f t="shared" si="21"/>
        <v>2021</v>
      </c>
    </row>
    <row r="632" spans="1:9" x14ac:dyDescent="0.3">
      <c r="A632" s="1">
        <v>44360</v>
      </c>
      <c r="B632" t="s">
        <v>48</v>
      </c>
      <c r="C632" t="s">
        <v>40</v>
      </c>
      <c r="D632" t="s">
        <v>78</v>
      </c>
      <c r="E632" t="s">
        <v>104</v>
      </c>
      <c r="F632">
        <v>2970</v>
      </c>
      <c r="H632">
        <f t="shared" si="20"/>
        <v>6</v>
      </c>
      <c r="I632">
        <f t="shared" si="21"/>
        <v>2021</v>
      </c>
    </row>
    <row r="633" spans="1:9" x14ac:dyDescent="0.3">
      <c r="A633" s="1">
        <v>44370</v>
      </c>
      <c r="B633" t="s">
        <v>48</v>
      </c>
      <c r="G633">
        <v>3300</v>
      </c>
      <c r="H633">
        <f t="shared" si="20"/>
        <v>6</v>
      </c>
      <c r="I633">
        <f t="shared" si="21"/>
        <v>2021</v>
      </c>
    </row>
    <row r="634" spans="1:9" x14ac:dyDescent="0.3">
      <c r="A634" s="1">
        <v>44370</v>
      </c>
      <c r="B634" t="s">
        <v>48</v>
      </c>
      <c r="C634" t="s">
        <v>40</v>
      </c>
      <c r="D634" t="s">
        <v>37</v>
      </c>
      <c r="E634" t="s">
        <v>104</v>
      </c>
      <c r="F634">
        <v>3300</v>
      </c>
      <c r="H634">
        <f t="shared" si="20"/>
        <v>6</v>
      </c>
      <c r="I634">
        <f t="shared" si="21"/>
        <v>2021</v>
      </c>
    </row>
    <row r="635" spans="1:9" x14ac:dyDescent="0.3">
      <c r="A635" s="1">
        <v>44375</v>
      </c>
      <c r="B635" t="s">
        <v>48</v>
      </c>
      <c r="G635">
        <v>4950</v>
      </c>
      <c r="H635">
        <f t="shared" si="20"/>
        <v>6</v>
      </c>
      <c r="I635">
        <f t="shared" si="21"/>
        <v>2021</v>
      </c>
    </row>
    <row r="636" spans="1:9" x14ac:dyDescent="0.3">
      <c r="A636" s="1">
        <v>44375</v>
      </c>
      <c r="B636" t="s">
        <v>48</v>
      </c>
      <c r="C636" t="s">
        <v>40</v>
      </c>
      <c r="D636" t="s">
        <v>25</v>
      </c>
      <c r="E636" t="s">
        <v>104</v>
      </c>
      <c r="F636">
        <v>1650</v>
      </c>
      <c r="H636">
        <f t="shared" si="20"/>
        <v>6</v>
      </c>
      <c r="I636">
        <f t="shared" si="21"/>
        <v>2021</v>
      </c>
    </row>
    <row r="637" spans="1:9" x14ac:dyDescent="0.3">
      <c r="A637" s="1">
        <v>44375</v>
      </c>
      <c r="B637" t="s">
        <v>48</v>
      </c>
      <c r="C637" t="s">
        <v>40</v>
      </c>
      <c r="D637" t="s">
        <v>37</v>
      </c>
      <c r="E637" t="s">
        <v>104</v>
      </c>
      <c r="F637">
        <v>3300</v>
      </c>
      <c r="H637">
        <f t="shared" si="20"/>
        <v>6</v>
      </c>
      <c r="I637">
        <f t="shared" si="21"/>
        <v>2021</v>
      </c>
    </row>
    <row r="638" spans="1:9" x14ac:dyDescent="0.3">
      <c r="A638" s="1">
        <v>44378</v>
      </c>
      <c r="B638" t="s">
        <v>234</v>
      </c>
      <c r="G638">
        <v>38940</v>
      </c>
      <c r="H638">
        <f t="shared" ref="H638:H668" si="22">MONTH(A638)</f>
        <v>7</v>
      </c>
      <c r="I638">
        <f t="shared" ref="I638:I668" si="23">YEAR(A638)</f>
        <v>2021</v>
      </c>
    </row>
    <row r="639" spans="1:9" x14ac:dyDescent="0.3">
      <c r="A639" s="1">
        <v>44378</v>
      </c>
      <c r="B639" t="s">
        <v>234</v>
      </c>
      <c r="C639" t="s">
        <v>94</v>
      </c>
      <c r="D639" t="s">
        <v>313</v>
      </c>
      <c r="E639" t="s">
        <v>186</v>
      </c>
      <c r="F639">
        <v>11400</v>
      </c>
      <c r="H639">
        <f t="shared" si="22"/>
        <v>7</v>
      </c>
      <c r="I639">
        <f t="shared" si="23"/>
        <v>2021</v>
      </c>
    </row>
    <row r="640" spans="1:9" x14ac:dyDescent="0.3">
      <c r="A640" s="1">
        <v>44378</v>
      </c>
      <c r="B640" t="s">
        <v>234</v>
      </c>
      <c r="C640" t="s">
        <v>11</v>
      </c>
      <c r="D640" t="s">
        <v>37</v>
      </c>
      <c r="E640" t="s">
        <v>62</v>
      </c>
      <c r="F640">
        <v>3420</v>
      </c>
      <c r="H640">
        <f t="shared" si="22"/>
        <v>7</v>
      </c>
      <c r="I640">
        <f t="shared" si="23"/>
        <v>2021</v>
      </c>
    </row>
    <row r="641" spans="1:9" x14ac:dyDescent="0.3">
      <c r="A641" s="1">
        <v>44378</v>
      </c>
      <c r="B641" t="s">
        <v>234</v>
      </c>
      <c r="C641" t="s">
        <v>44</v>
      </c>
      <c r="D641" t="s">
        <v>25</v>
      </c>
      <c r="E641" t="s">
        <v>43</v>
      </c>
      <c r="F641">
        <v>1950</v>
      </c>
      <c r="H641">
        <f t="shared" si="22"/>
        <v>7</v>
      </c>
      <c r="I641">
        <f t="shared" si="23"/>
        <v>2021</v>
      </c>
    </row>
    <row r="642" spans="1:9" x14ac:dyDescent="0.3">
      <c r="A642" s="1">
        <v>44378</v>
      </c>
      <c r="B642" t="s">
        <v>234</v>
      </c>
      <c r="C642" t="s">
        <v>225</v>
      </c>
      <c r="D642" t="s">
        <v>25</v>
      </c>
      <c r="E642" t="s">
        <v>119</v>
      </c>
      <c r="F642">
        <v>1500</v>
      </c>
      <c r="H642">
        <f t="shared" si="22"/>
        <v>7</v>
      </c>
      <c r="I642">
        <f t="shared" si="23"/>
        <v>2021</v>
      </c>
    </row>
    <row r="643" spans="1:9" x14ac:dyDescent="0.3">
      <c r="A643" s="1">
        <v>44378</v>
      </c>
      <c r="B643" t="s">
        <v>234</v>
      </c>
      <c r="C643" t="s">
        <v>98</v>
      </c>
      <c r="D643" t="s">
        <v>37</v>
      </c>
      <c r="E643" t="s">
        <v>6</v>
      </c>
      <c r="F643">
        <v>5250</v>
      </c>
      <c r="H643">
        <f t="shared" si="22"/>
        <v>7</v>
      </c>
      <c r="I643">
        <f t="shared" si="23"/>
        <v>2021</v>
      </c>
    </row>
    <row r="644" spans="1:9" x14ac:dyDescent="0.3">
      <c r="A644" s="1">
        <v>44378</v>
      </c>
      <c r="B644" t="s">
        <v>234</v>
      </c>
      <c r="C644" t="s">
        <v>40</v>
      </c>
      <c r="D644" t="s">
        <v>9</v>
      </c>
      <c r="E644" t="s">
        <v>104</v>
      </c>
      <c r="F644">
        <v>6600</v>
      </c>
      <c r="H644">
        <f t="shared" si="22"/>
        <v>7</v>
      </c>
      <c r="I644">
        <f t="shared" si="23"/>
        <v>2021</v>
      </c>
    </row>
    <row r="645" spans="1:9" x14ac:dyDescent="0.3">
      <c r="A645" s="1">
        <v>44378</v>
      </c>
      <c r="B645" t="s">
        <v>234</v>
      </c>
      <c r="C645" t="s">
        <v>142</v>
      </c>
      <c r="D645" t="s">
        <v>12</v>
      </c>
      <c r="E645" t="s">
        <v>156</v>
      </c>
      <c r="F645">
        <v>1000</v>
      </c>
      <c r="H645">
        <f t="shared" si="22"/>
        <v>7</v>
      </c>
      <c r="I645">
        <f t="shared" si="23"/>
        <v>2021</v>
      </c>
    </row>
    <row r="646" spans="1:9" x14ac:dyDescent="0.3">
      <c r="A646" s="1">
        <v>44378</v>
      </c>
      <c r="B646" t="s">
        <v>234</v>
      </c>
      <c r="C646" t="s">
        <v>123</v>
      </c>
      <c r="D646" t="s">
        <v>5</v>
      </c>
      <c r="E646" t="s">
        <v>199</v>
      </c>
      <c r="F646">
        <v>780</v>
      </c>
      <c r="H646">
        <f t="shared" si="22"/>
        <v>7</v>
      </c>
      <c r="I646">
        <f t="shared" si="23"/>
        <v>2021</v>
      </c>
    </row>
    <row r="647" spans="1:9" x14ac:dyDescent="0.3">
      <c r="A647" s="1">
        <v>44378</v>
      </c>
      <c r="B647" t="s">
        <v>234</v>
      </c>
      <c r="C647" t="s">
        <v>294</v>
      </c>
      <c r="D647" t="s">
        <v>12</v>
      </c>
      <c r="E647" t="s">
        <v>156</v>
      </c>
      <c r="F647">
        <v>1000</v>
      </c>
      <c r="H647">
        <f t="shared" si="22"/>
        <v>7</v>
      </c>
      <c r="I647">
        <f t="shared" si="23"/>
        <v>2021</v>
      </c>
    </row>
    <row r="648" spans="1:9" x14ac:dyDescent="0.3">
      <c r="A648" s="1">
        <v>44378</v>
      </c>
      <c r="B648" t="s">
        <v>234</v>
      </c>
      <c r="C648" t="s">
        <v>293</v>
      </c>
      <c r="D648" t="s">
        <v>37</v>
      </c>
      <c r="E648" t="s">
        <v>214</v>
      </c>
      <c r="F648">
        <v>2150</v>
      </c>
      <c r="H648">
        <f t="shared" si="22"/>
        <v>7</v>
      </c>
      <c r="I648">
        <f t="shared" si="23"/>
        <v>2021</v>
      </c>
    </row>
    <row r="649" spans="1:9" x14ac:dyDescent="0.3">
      <c r="A649" s="1">
        <v>44378</v>
      </c>
      <c r="B649" t="s">
        <v>234</v>
      </c>
      <c r="C649" t="s">
        <v>293</v>
      </c>
      <c r="D649" t="s">
        <v>9</v>
      </c>
      <c r="E649" t="s">
        <v>214</v>
      </c>
      <c r="F649">
        <v>4300</v>
      </c>
      <c r="H649">
        <f t="shared" si="22"/>
        <v>7</v>
      </c>
      <c r="I649">
        <f t="shared" si="23"/>
        <v>2021</v>
      </c>
    </row>
    <row r="650" spans="1:9" x14ac:dyDescent="0.3">
      <c r="A650" s="1">
        <v>44378</v>
      </c>
      <c r="B650" t="s">
        <v>24</v>
      </c>
      <c r="G650">
        <v>-410</v>
      </c>
      <c r="H650">
        <f t="shared" si="22"/>
        <v>7</v>
      </c>
      <c r="I650">
        <f t="shared" si="23"/>
        <v>2021</v>
      </c>
    </row>
    <row r="651" spans="1:9" x14ac:dyDescent="0.3">
      <c r="A651" s="1">
        <v>44378</v>
      </c>
      <c r="B651" t="s">
        <v>3</v>
      </c>
      <c r="G651">
        <v>3030</v>
      </c>
      <c r="H651">
        <f t="shared" si="22"/>
        <v>7</v>
      </c>
      <c r="I651">
        <f t="shared" si="23"/>
        <v>2021</v>
      </c>
    </row>
    <row r="652" spans="1:9" x14ac:dyDescent="0.3">
      <c r="A652" s="1">
        <v>44378</v>
      </c>
      <c r="B652" t="s">
        <v>3</v>
      </c>
      <c r="C652" t="s">
        <v>147</v>
      </c>
      <c r="D652" t="s">
        <v>12</v>
      </c>
      <c r="E652" t="s">
        <v>99</v>
      </c>
      <c r="F652">
        <v>1080</v>
      </c>
      <c r="H652">
        <f t="shared" si="22"/>
        <v>7</v>
      </c>
      <c r="I652">
        <f t="shared" si="23"/>
        <v>2021</v>
      </c>
    </row>
    <row r="653" spans="1:9" x14ac:dyDescent="0.3">
      <c r="A653" s="1">
        <v>44378</v>
      </c>
      <c r="B653" t="s">
        <v>3</v>
      </c>
      <c r="C653" t="s">
        <v>98</v>
      </c>
      <c r="D653" t="s">
        <v>5</v>
      </c>
      <c r="E653" t="s">
        <v>99</v>
      </c>
      <c r="F653">
        <v>540</v>
      </c>
      <c r="H653">
        <f t="shared" si="22"/>
        <v>7</v>
      </c>
      <c r="I653">
        <f t="shared" si="23"/>
        <v>2021</v>
      </c>
    </row>
    <row r="654" spans="1:9" x14ac:dyDescent="0.3">
      <c r="A654" s="1">
        <v>44378</v>
      </c>
      <c r="B654" t="s">
        <v>3</v>
      </c>
      <c r="C654" t="s">
        <v>38</v>
      </c>
      <c r="D654" t="s">
        <v>5</v>
      </c>
      <c r="E654" t="s">
        <v>100</v>
      </c>
      <c r="F654">
        <v>350</v>
      </c>
      <c r="H654">
        <f t="shared" si="22"/>
        <v>7</v>
      </c>
      <c r="I654">
        <f t="shared" si="23"/>
        <v>2021</v>
      </c>
    </row>
    <row r="655" spans="1:9" x14ac:dyDescent="0.3">
      <c r="A655" s="1">
        <v>44378</v>
      </c>
      <c r="B655" t="s">
        <v>3</v>
      </c>
      <c r="C655" t="s">
        <v>40</v>
      </c>
      <c r="D655" t="s">
        <v>5</v>
      </c>
      <c r="E655" t="s">
        <v>104</v>
      </c>
      <c r="F655">
        <v>330</v>
      </c>
      <c r="H655">
        <f t="shared" si="22"/>
        <v>7</v>
      </c>
      <c r="I655">
        <f t="shared" si="23"/>
        <v>2021</v>
      </c>
    </row>
    <row r="656" spans="1:9" x14ac:dyDescent="0.3">
      <c r="A656" s="1">
        <v>44378</v>
      </c>
      <c r="B656" t="s">
        <v>3</v>
      </c>
      <c r="C656" t="s">
        <v>94</v>
      </c>
      <c r="D656" t="s">
        <v>137</v>
      </c>
      <c r="E656" t="s">
        <v>186</v>
      </c>
      <c r="F656">
        <v>380</v>
      </c>
      <c r="H656">
        <f t="shared" si="22"/>
        <v>7</v>
      </c>
      <c r="I656">
        <f t="shared" si="23"/>
        <v>2021</v>
      </c>
    </row>
    <row r="657" spans="1:9" x14ac:dyDescent="0.3">
      <c r="A657" s="1">
        <v>44378</v>
      </c>
      <c r="B657" t="s">
        <v>3</v>
      </c>
      <c r="C657" t="s">
        <v>38</v>
      </c>
      <c r="D657" t="s">
        <v>5</v>
      </c>
      <c r="E657" t="s">
        <v>100</v>
      </c>
      <c r="F657">
        <v>350</v>
      </c>
      <c r="H657">
        <f t="shared" si="22"/>
        <v>7</v>
      </c>
      <c r="I657">
        <f t="shared" si="23"/>
        <v>2021</v>
      </c>
    </row>
    <row r="658" spans="1:9" x14ac:dyDescent="0.3">
      <c r="A658" s="1">
        <v>44380</v>
      </c>
      <c r="B658" t="s">
        <v>141</v>
      </c>
      <c r="G658">
        <v>6275</v>
      </c>
      <c r="H658">
        <f t="shared" si="22"/>
        <v>7</v>
      </c>
      <c r="I658">
        <f t="shared" si="23"/>
        <v>2021</v>
      </c>
    </row>
    <row r="659" spans="1:9" x14ac:dyDescent="0.3">
      <c r="A659" s="1">
        <v>44380</v>
      </c>
      <c r="B659" t="s">
        <v>141</v>
      </c>
      <c r="C659" t="s">
        <v>98</v>
      </c>
      <c r="D659" t="s">
        <v>25</v>
      </c>
      <c r="E659" t="s">
        <v>99</v>
      </c>
      <c r="F659">
        <v>2700</v>
      </c>
      <c r="H659">
        <f t="shared" si="22"/>
        <v>7</v>
      </c>
      <c r="I659">
        <f t="shared" si="23"/>
        <v>2021</v>
      </c>
    </row>
    <row r="660" spans="1:9" x14ac:dyDescent="0.3">
      <c r="A660" s="1">
        <v>44380</v>
      </c>
      <c r="B660" t="s">
        <v>141</v>
      </c>
      <c r="C660" t="s">
        <v>94</v>
      </c>
      <c r="D660" t="s">
        <v>180</v>
      </c>
      <c r="E660" t="s">
        <v>186</v>
      </c>
      <c r="F660">
        <v>1900</v>
      </c>
      <c r="H660">
        <f t="shared" si="22"/>
        <v>7</v>
      </c>
      <c r="I660">
        <f t="shared" si="23"/>
        <v>2021</v>
      </c>
    </row>
    <row r="661" spans="1:9" x14ac:dyDescent="0.3">
      <c r="A661" s="1">
        <v>44380</v>
      </c>
      <c r="B661" t="s">
        <v>141</v>
      </c>
      <c r="C661" t="s">
        <v>40</v>
      </c>
      <c r="D661" t="s">
        <v>25</v>
      </c>
      <c r="E661" t="s">
        <v>117</v>
      </c>
      <c r="F661">
        <v>1675</v>
      </c>
      <c r="H661">
        <f t="shared" si="22"/>
        <v>7</v>
      </c>
      <c r="I661">
        <f t="shared" si="23"/>
        <v>2021</v>
      </c>
    </row>
    <row r="662" spans="1:9" x14ac:dyDescent="0.3">
      <c r="A662" s="1">
        <v>44383</v>
      </c>
      <c r="B662" t="s">
        <v>299</v>
      </c>
      <c r="G662">
        <v>14800</v>
      </c>
      <c r="H662">
        <f t="shared" si="22"/>
        <v>7</v>
      </c>
      <c r="I662">
        <f t="shared" si="23"/>
        <v>2021</v>
      </c>
    </row>
    <row r="663" spans="1:9" x14ac:dyDescent="0.3">
      <c r="A663" s="1">
        <v>44383</v>
      </c>
      <c r="B663" t="s">
        <v>299</v>
      </c>
      <c r="C663" t="s">
        <v>94</v>
      </c>
      <c r="D663" t="s">
        <v>267</v>
      </c>
      <c r="E663" t="s">
        <v>186</v>
      </c>
      <c r="F663">
        <v>4750</v>
      </c>
      <c r="H663">
        <f t="shared" si="22"/>
        <v>7</v>
      </c>
      <c r="I663">
        <f t="shared" si="23"/>
        <v>2021</v>
      </c>
    </row>
    <row r="664" spans="1:9" x14ac:dyDescent="0.3">
      <c r="A664" s="1">
        <v>44383</v>
      </c>
      <c r="B664" t="s">
        <v>299</v>
      </c>
      <c r="C664" t="s">
        <v>40</v>
      </c>
      <c r="D664" t="s">
        <v>9</v>
      </c>
      <c r="E664" t="s">
        <v>104</v>
      </c>
      <c r="F664">
        <v>6600</v>
      </c>
      <c r="H664">
        <f t="shared" si="22"/>
        <v>7</v>
      </c>
      <c r="I664">
        <f t="shared" si="23"/>
        <v>2021</v>
      </c>
    </row>
    <row r="665" spans="1:9" x14ac:dyDescent="0.3">
      <c r="A665" s="1">
        <v>44383</v>
      </c>
      <c r="B665" t="s">
        <v>299</v>
      </c>
      <c r="C665" t="s">
        <v>38</v>
      </c>
      <c r="D665" t="s">
        <v>37</v>
      </c>
      <c r="E665" t="s">
        <v>13</v>
      </c>
      <c r="F665">
        <v>3450</v>
      </c>
      <c r="H665">
        <f t="shared" si="22"/>
        <v>7</v>
      </c>
      <c r="I665">
        <f t="shared" si="23"/>
        <v>2021</v>
      </c>
    </row>
    <row r="666" spans="1:9" x14ac:dyDescent="0.3">
      <c r="A666" s="1">
        <v>44383</v>
      </c>
      <c r="B666" t="s">
        <v>88</v>
      </c>
      <c r="G666">
        <v>3230</v>
      </c>
      <c r="H666">
        <f t="shared" si="22"/>
        <v>7</v>
      </c>
      <c r="I666">
        <f t="shared" si="23"/>
        <v>2021</v>
      </c>
    </row>
    <row r="667" spans="1:9" x14ac:dyDescent="0.3">
      <c r="A667" s="1">
        <v>44383</v>
      </c>
      <c r="B667" t="s">
        <v>88</v>
      </c>
      <c r="C667" t="s">
        <v>40</v>
      </c>
      <c r="D667" t="s">
        <v>37</v>
      </c>
      <c r="E667" t="s">
        <v>314</v>
      </c>
      <c r="F667">
        <v>3230</v>
      </c>
      <c r="H667">
        <f t="shared" si="22"/>
        <v>7</v>
      </c>
      <c r="I667">
        <f t="shared" si="23"/>
        <v>2021</v>
      </c>
    </row>
    <row r="668" spans="1:9" x14ac:dyDescent="0.3">
      <c r="A668" s="1">
        <v>44384</v>
      </c>
      <c r="B668" t="s">
        <v>55</v>
      </c>
      <c r="G668">
        <v>16400</v>
      </c>
      <c r="H668">
        <f t="shared" si="22"/>
        <v>7</v>
      </c>
      <c r="I668">
        <f t="shared" si="23"/>
        <v>2021</v>
      </c>
    </row>
    <row r="669" spans="1:9" x14ac:dyDescent="0.3">
      <c r="A669" s="1">
        <v>44384</v>
      </c>
      <c r="B669" t="s">
        <v>55</v>
      </c>
      <c r="C669" t="s">
        <v>40</v>
      </c>
      <c r="D669" t="s">
        <v>52</v>
      </c>
      <c r="E669" t="s">
        <v>41</v>
      </c>
      <c r="F669">
        <v>16400</v>
      </c>
      <c r="H669">
        <f t="shared" ref="H669:H728" si="24">MONTH(A669)</f>
        <v>7</v>
      </c>
      <c r="I669">
        <f t="shared" ref="I669:I728" si="25">YEAR(A669)</f>
        <v>2021</v>
      </c>
    </row>
    <row r="670" spans="1:9" x14ac:dyDescent="0.3">
      <c r="A670" s="1">
        <v>44384</v>
      </c>
      <c r="B670" t="s">
        <v>82</v>
      </c>
      <c r="G670">
        <v>6600</v>
      </c>
      <c r="H670">
        <f t="shared" si="24"/>
        <v>7</v>
      </c>
      <c r="I670">
        <f t="shared" si="25"/>
        <v>2021</v>
      </c>
    </row>
    <row r="671" spans="1:9" x14ac:dyDescent="0.3">
      <c r="A671" s="1">
        <v>44384</v>
      </c>
      <c r="B671" t="s">
        <v>82</v>
      </c>
      <c r="C671" t="s">
        <v>40</v>
      </c>
      <c r="D671" t="s">
        <v>9</v>
      </c>
      <c r="E671" t="s">
        <v>104</v>
      </c>
      <c r="F671">
        <v>6600</v>
      </c>
      <c r="H671">
        <f t="shared" si="24"/>
        <v>7</v>
      </c>
      <c r="I671">
        <f t="shared" si="25"/>
        <v>2021</v>
      </c>
    </row>
    <row r="672" spans="1:9" x14ac:dyDescent="0.3">
      <c r="A672" s="1">
        <v>44384</v>
      </c>
      <c r="B672" t="s">
        <v>48</v>
      </c>
      <c r="G672">
        <v>6600</v>
      </c>
      <c r="H672">
        <f t="shared" si="24"/>
        <v>7</v>
      </c>
      <c r="I672">
        <f t="shared" si="25"/>
        <v>2021</v>
      </c>
    </row>
    <row r="673" spans="1:9" x14ac:dyDescent="0.3">
      <c r="A673" s="1">
        <v>44384</v>
      </c>
      <c r="B673" t="s">
        <v>48</v>
      </c>
      <c r="C673" t="s">
        <v>40</v>
      </c>
      <c r="D673" t="s">
        <v>9</v>
      </c>
      <c r="E673" t="s">
        <v>104</v>
      </c>
      <c r="F673">
        <v>6600</v>
      </c>
      <c r="H673">
        <f t="shared" si="24"/>
        <v>7</v>
      </c>
      <c r="I673">
        <f t="shared" si="25"/>
        <v>2021</v>
      </c>
    </row>
    <row r="674" spans="1:9" x14ac:dyDescent="0.3">
      <c r="A674" s="1">
        <v>44388</v>
      </c>
      <c r="B674" t="s">
        <v>3</v>
      </c>
      <c r="G674">
        <v>3300</v>
      </c>
      <c r="H674">
        <f t="shared" si="24"/>
        <v>7</v>
      </c>
      <c r="I674">
        <f t="shared" si="25"/>
        <v>2021</v>
      </c>
    </row>
    <row r="675" spans="1:9" x14ac:dyDescent="0.3">
      <c r="A675" s="1">
        <v>44388</v>
      </c>
      <c r="B675" t="s">
        <v>3</v>
      </c>
      <c r="C675" t="s">
        <v>175</v>
      </c>
      <c r="D675" t="s">
        <v>5</v>
      </c>
      <c r="E675" t="s">
        <v>115</v>
      </c>
      <c r="F675">
        <v>650</v>
      </c>
      <c r="H675">
        <f t="shared" si="24"/>
        <v>7</v>
      </c>
      <c r="I675">
        <f t="shared" si="25"/>
        <v>2021</v>
      </c>
    </row>
    <row r="676" spans="1:9" x14ac:dyDescent="0.3">
      <c r="A676" s="1">
        <v>44388</v>
      </c>
      <c r="B676" t="s">
        <v>3</v>
      </c>
      <c r="C676" t="s">
        <v>94</v>
      </c>
      <c r="D676" t="s">
        <v>137</v>
      </c>
      <c r="E676" t="s">
        <v>132</v>
      </c>
      <c r="F676">
        <v>400</v>
      </c>
      <c r="H676">
        <f t="shared" si="24"/>
        <v>7</v>
      </c>
      <c r="I676">
        <f t="shared" si="25"/>
        <v>2021</v>
      </c>
    </row>
    <row r="677" spans="1:9" x14ac:dyDescent="0.3">
      <c r="A677" s="1">
        <v>44388</v>
      </c>
      <c r="B677" t="s">
        <v>3</v>
      </c>
      <c r="C677" t="s">
        <v>40</v>
      </c>
      <c r="D677" t="s">
        <v>5</v>
      </c>
      <c r="E677" t="s">
        <v>100</v>
      </c>
      <c r="F677">
        <v>350</v>
      </c>
      <c r="H677">
        <f t="shared" si="24"/>
        <v>7</v>
      </c>
      <c r="I677">
        <f t="shared" si="25"/>
        <v>2021</v>
      </c>
    </row>
    <row r="678" spans="1:9" x14ac:dyDescent="0.3">
      <c r="A678" s="1">
        <v>44388</v>
      </c>
      <c r="B678" t="s">
        <v>3</v>
      </c>
      <c r="C678" t="s">
        <v>219</v>
      </c>
      <c r="D678" t="s">
        <v>5</v>
      </c>
      <c r="E678" t="s">
        <v>199</v>
      </c>
      <c r="F678">
        <v>780</v>
      </c>
      <c r="H678">
        <f t="shared" si="24"/>
        <v>7</v>
      </c>
      <c r="I678">
        <f t="shared" si="25"/>
        <v>2021</v>
      </c>
    </row>
    <row r="679" spans="1:9" x14ac:dyDescent="0.3">
      <c r="A679" s="1">
        <v>44388</v>
      </c>
      <c r="B679" t="s">
        <v>3</v>
      </c>
      <c r="C679" t="s">
        <v>40</v>
      </c>
      <c r="D679" t="s">
        <v>23</v>
      </c>
      <c r="E679" t="s">
        <v>185</v>
      </c>
      <c r="F679">
        <v>1000</v>
      </c>
      <c r="H679">
        <f t="shared" si="24"/>
        <v>7</v>
      </c>
      <c r="I679">
        <f t="shared" si="25"/>
        <v>2021</v>
      </c>
    </row>
    <row r="680" spans="1:9" x14ac:dyDescent="0.3">
      <c r="A680" s="1">
        <v>44388</v>
      </c>
      <c r="B680" t="s">
        <v>24</v>
      </c>
      <c r="H680">
        <f t="shared" si="24"/>
        <v>7</v>
      </c>
      <c r="I680">
        <f t="shared" si="25"/>
        <v>2021</v>
      </c>
    </row>
    <row r="681" spans="1:9" x14ac:dyDescent="0.3">
      <c r="A681" s="1">
        <v>44389</v>
      </c>
      <c r="B681" t="s">
        <v>130</v>
      </c>
      <c r="G681">
        <v>3140</v>
      </c>
      <c r="H681">
        <f t="shared" si="24"/>
        <v>7</v>
      </c>
      <c r="I681">
        <f t="shared" si="25"/>
        <v>2021</v>
      </c>
    </row>
    <row r="682" spans="1:9" x14ac:dyDescent="0.3">
      <c r="A682" s="1">
        <v>44389</v>
      </c>
      <c r="B682" t="s">
        <v>130</v>
      </c>
      <c r="C682" t="s">
        <v>176</v>
      </c>
      <c r="D682" t="s">
        <v>93</v>
      </c>
      <c r="E682" t="s">
        <v>166</v>
      </c>
      <c r="F682">
        <v>864</v>
      </c>
      <c r="H682">
        <f t="shared" si="24"/>
        <v>7</v>
      </c>
      <c r="I682">
        <f t="shared" si="25"/>
        <v>2021</v>
      </c>
    </row>
    <row r="683" spans="1:9" x14ac:dyDescent="0.3">
      <c r="A683" s="1">
        <v>44389</v>
      </c>
      <c r="B683" t="s">
        <v>130</v>
      </c>
      <c r="C683" t="s">
        <v>44</v>
      </c>
      <c r="D683" t="s">
        <v>5</v>
      </c>
      <c r="E683" t="s">
        <v>103</v>
      </c>
      <c r="F683">
        <v>400</v>
      </c>
      <c r="H683">
        <f t="shared" si="24"/>
        <v>7</v>
      </c>
      <c r="I683">
        <f t="shared" si="25"/>
        <v>2021</v>
      </c>
    </row>
    <row r="684" spans="1:9" x14ac:dyDescent="0.3">
      <c r="A684" s="1">
        <v>44389</v>
      </c>
      <c r="B684" t="s">
        <v>130</v>
      </c>
      <c r="C684" t="s">
        <v>38</v>
      </c>
      <c r="D684" t="s">
        <v>5</v>
      </c>
      <c r="E684" t="s">
        <v>100</v>
      </c>
      <c r="F684">
        <v>350</v>
      </c>
      <c r="H684">
        <f t="shared" si="24"/>
        <v>7</v>
      </c>
      <c r="I684">
        <f t="shared" si="25"/>
        <v>2021</v>
      </c>
    </row>
    <row r="685" spans="1:9" x14ac:dyDescent="0.3">
      <c r="A685" s="1">
        <v>44389</v>
      </c>
      <c r="B685" t="s">
        <v>130</v>
      </c>
      <c r="C685" t="s">
        <v>204</v>
      </c>
      <c r="D685" t="s">
        <v>5</v>
      </c>
      <c r="E685" t="s">
        <v>203</v>
      </c>
      <c r="F685">
        <v>580</v>
      </c>
      <c r="H685">
        <f t="shared" si="24"/>
        <v>7</v>
      </c>
      <c r="I685">
        <f t="shared" si="25"/>
        <v>2021</v>
      </c>
    </row>
    <row r="686" spans="1:9" x14ac:dyDescent="0.3">
      <c r="A686" s="1">
        <v>44389</v>
      </c>
      <c r="B686" t="s">
        <v>130</v>
      </c>
      <c r="C686" t="s">
        <v>94</v>
      </c>
      <c r="D686" t="s">
        <v>174</v>
      </c>
      <c r="E686" t="s">
        <v>186</v>
      </c>
      <c r="F686">
        <v>950</v>
      </c>
      <c r="H686">
        <f t="shared" si="24"/>
        <v>7</v>
      </c>
      <c r="I686">
        <f t="shared" si="25"/>
        <v>2021</v>
      </c>
    </row>
    <row r="687" spans="1:9" x14ac:dyDescent="0.3">
      <c r="A687" s="1">
        <v>44389</v>
      </c>
      <c r="B687" t="s">
        <v>24</v>
      </c>
      <c r="G687">
        <v>-4</v>
      </c>
      <c r="H687">
        <f t="shared" si="24"/>
        <v>7</v>
      </c>
      <c r="I687">
        <f t="shared" si="25"/>
        <v>2021</v>
      </c>
    </row>
    <row r="688" spans="1:9" x14ac:dyDescent="0.3">
      <c r="A688" s="1">
        <v>44389</v>
      </c>
      <c r="B688" t="s">
        <v>130</v>
      </c>
      <c r="G688">
        <v>2410</v>
      </c>
      <c r="H688">
        <f t="shared" si="24"/>
        <v>7</v>
      </c>
      <c r="I688">
        <f t="shared" si="25"/>
        <v>2021</v>
      </c>
    </row>
    <row r="689" spans="1:9" x14ac:dyDescent="0.3">
      <c r="A689" s="1">
        <v>44389</v>
      </c>
      <c r="B689" t="s">
        <v>130</v>
      </c>
      <c r="C689" t="s">
        <v>147</v>
      </c>
      <c r="D689" t="s">
        <v>5</v>
      </c>
      <c r="E689" t="s">
        <v>144</v>
      </c>
      <c r="F689">
        <v>640</v>
      </c>
      <c r="H689">
        <f t="shared" si="24"/>
        <v>7</v>
      </c>
      <c r="I689">
        <f t="shared" si="25"/>
        <v>2021</v>
      </c>
    </row>
    <row r="690" spans="1:9" x14ac:dyDescent="0.3">
      <c r="A690" s="1">
        <v>44389</v>
      </c>
      <c r="B690" t="s">
        <v>130</v>
      </c>
      <c r="C690" t="s">
        <v>148</v>
      </c>
      <c r="D690" t="s">
        <v>12</v>
      </c>
      <c r="E690" t="s">
        <v>149</v>
      </c>
      <c r="F690">
        <v>370</v>
      </c>
      <c r="H690">
        <f t="shared" si="24"/>
        <v>7</v>
      </c>
      <c r="I690">
        <f t="shared" si="25"/>
        <v>2021</v>
      </c>
    </row>
    <row r="691" spans="1:9" x14ac:dyDescent="0.3">
      <c r="A691" s="1">
        <v>44389</v>
      </c>
      <c r="B691" t="s">
        <v>130</v>
      </c>
      <c r="C691" t="s">
        <v>167</v>
      </c>
      <c r="D691" t="s">
        <v>5</v>
      </c>
      <c r="E691" t="s">
        <v>170</v>
      </c>
      <c r="F691">
        <v>860</v>
      </c>
      <c r="H691">
        <f t="shared" si="24"/>
        <v>7</v>
      </c>
      <c r="I691">
        <f t="shared" si="25"/>
        <v>2021</v>
      </c>
    </row>
    <row r="692" spans="1:9" x14ac:dyDescent="0.3">
      <c r="A692" s="1">
        <v>44389</v>
      </c>
      <c r="B692" t="s">
        <v>130</v>
      </c>
      <c r="C692" t="s">
        <v>98</v>
      </c>
      <c r="D692" t="s">
        <v>5</v>
      </c>
      <c r="E692" t="s">
        <v>99</v>
      </c>
      <c r="F692">
        <v>540</v>
      </c>
      <c r="H692">
        <f t="shared" si="24"/>
        <v>7</v>
      </c>
      <c r="I692">
        <f t="shared" si="25"/>
        <v>2021</v>
      </c>
    </row>
    <row r="693" spans="1:9" x14ac:dyDescent="0.3">
      <c r="A693" s="1">
        <v>44389</v>
      </c>
      <c r="B693" t="s">
        <v>130</v>
      </c>
      <c r="G693">
        <v>1860</v>
      </c>
      <c r="H693">
        <f t="shared" si="24"/>
        <v>7</v>
      </c>
      <c r="I693">
        <f t="shared" si="25"/>
        <v>2021</v>
      </c>
    </row>
    <row r="694" spans="1:9" x14ac:dyDescent="0.3">
      <c r="A694" s="1">
        <v>44389</v>
      </c>
      <c r="B694" t="s">
        <v>130</v>
      </c>
      <c r="C694" t="s">
        <v>204</v>
      </c>
      <c r="D694" t="s">
        <v>5</v>
      </c>
      <c r="E694" t="s">
        <v>99</v>
      </c>
      <c r="F694">
        <v>540</v>
      </c>
      <c r="H694">
        <f t="shared" si="24"/>
        <v>7</v>
      </c>
      <c r="I694">
        <f t="shared" si="25"/>
        <v>2021</v>
      </c>
    </row>
    <row r="695" spans="1:9" x14ac:dyDescent="0.3">
      <c r="A695" s="1">
        <v>44389</v>
      </c>
      <c r="B695" t="s">
        <v>130</v>
      </c>
      <c r="C695" t="s">
        <v>216</v>
      </c>
      <c r="D695" t="s">
        <v>5</v>
      </c>
      <c r="E695" t="s">
        <v>99</v>
      </c>
      <c r="F695">
        <v>540</v>
      </c>
      <c r="H695">
        <f t="shared" si="24"/>
        <v>7</v>
      </c>
      <c r="I695">
        <f t="shared" si="25"/>
        <v>2021</v>
      </c>
    </row>
    <row r="696" spans="1:9" x14ac:dyDescent="0.3">
      <c r="A696" s="1">
        <v>44389</v>
      </c>
      <c r="B696" t="s">
        <v>130</v>
      </c>
      <c r="C696" t="s">
        <v>188</v>
      </c>
      <c r="D696" t="s">
        <v>5</v>
      </c>
      <c r="E696" t="s">
        <v>199</v>
      </c>
      <c r="F696">
        <v>780</v>
      </c>
      <c r="H696">
        <f t="shared" si="24"/>
        <v>7</v>
      </c>
      <c r="I696">
        <f t="shared" si="25"/>
        <v>2021</v>
      </c>
    </row>
    <row r="697" spans="1:9" x14ac:dyDescent="0.3">
      <c r="A697" s="1">
        <v>44389</v>
      </c>
      <c r="B697" t="s">
        <v>130</v>
      </c>
      <c r="G697">
        <v>3000</v>
      </c>
      <c r="H697">
        <f t="shared" si="24"/>
        <v>7</v>
      </c>
      <c r="I697">
        <f t="shared" si="25"/>
        <v>2021</v>
      </c>
    </row>
    <row r="698" spans="1:9" x14ac:dyDescent="0.3">
      <c r="A698" s="1">
        <v>44389</v>
      </c>
      <c r="B698" t="s">
        <v>130</v>
      </c>
      <c r="C698" t="s">
        <v>98</v>
      </c>
      <c r="D698" t="s">
        <v>23</v>
      </c>
      <c r="E698" t="s">
        <v>99</v>
      </c>
      <c r="F698">
        <v>1620</v>
      </c>
      <c r="H698">
        <f t="shared" si="24"/>
        <v>7</v>
      </c>
      <c r="I698">
        <f t="shared" si="25"/>
        <v>2021</v>
      </c>
    </row>
    <row r="699" spans="1:9" x14ac:dyDescent="0.3">
      <c r="A699" s="1">
        <v>44389</v>
      </c>
      <c r="B699" t="s">
        <v>130</v>
      </c>
      <c r="C699" t="s">
        <v>165</v>
      </c>
      <c r="D699" t="s">
        <v>23</v>
      </c>
      <c r="E699" t="s">
        <v>166</v>
      </c>
      <c r="F699">
        <v>648</v>
      </c>
      <c r="H699">
        <f t="shared" si="24"/>
        <v>7</v>
      </c>
      <c r="I699">
        <f t="shared" si="25"/>
        <v>2021</v>
      </c>
    </row>
    <row r="700" spans="1:9" x14ac:dyDescent="0.3">
      <c r="A700" s="1">
        <v>44389</v>
      </c>
      <c r="B700" t="s">
        <v>130</v>
      </c>
      <c r="C700" t="s">
        <v>235</v>
      </c>
      <c r="D700" t="s">
        <v>23</v>
      </c>
      <c r="E700" t="s">
        <v>315</v>
      </c>
      <c r="F700">
        <v>735</v>
      </c>
      <c r="H700">
        <f t="shared" si="24"/>
        <v>7</v>
      </c>
      <c r="I700">
        <f t="shared" si="25"/>
        <v>2021</v>
      </c>
    </row>
    <row r="701" spans="1:9" x14ac:dyDescent="0.3">
      <c r="A701" s="1">
        <v>44389</v>
      </c>
      <c r="B701" t="s">
        <v>24</v>
      </c>
      <c r="G701">
        <v>-3</v>
      </c>
      <c r="H701">
        <f t="shared" si="24"/>
        <v>7</v>
      </c>
      <c r="I701">
        <f t="shared" si="25"/>
        <v>2021</v>
      </c>
    </row>
    <row r="702" spans="1:9" x14ac:dyDescent="0.3">
      <c r="A702" s="1">
        <v>44391</v>
      </c>
      <c r="B702" t="s">
        <v>234</v>
      </c>
      <c r="G702">
        <v>29974</v>
      </c>
      <c r="H702">
        <f t="shared" si="24"/>
        <v>7</v>
      </c>
      <c r="I702">
        <f t="shared" si="25"/>
        <v>2021</v>
      </c>
    </row>
    <row r="703" spans="1:9" x14ac:dyDescent="0.3">
      <c r="A703" s="1">
        <v>44391</v>
      </c>
      <c r="B703" t="s">
        <v>234</v>
      </c>
      <c r="C703" t="s">
        <v>293</v>
      </c>
      <c r="D703" t="s">
        <v>9</v>
      </c>
      <c r="E703" t="s">
        <v>214</v>
      </c>
      <c r="F703">
        <v>4300</v>
      </c>
      <c r="H703">
        <f t="shared" si="24"/>
        <v>7</v>
      </c>
      <c r="I703">
        <f t="shared" si="25"/>
        <v>2021</v>
      </c>
    </row>
    <row r="704" spans="1:9" x14ac:dyDescent="0.3">
      <c r="A704" s="1">
        <v>44391</v>
      </c>
      <c r="B704" t="s">
        <v>234</v>
      </c>
      <c r="C704" t="s">
        <v>94</v>
      </c>
      <c r="D704" t="s">
        <v>316</v>
      </c>
      <c r="E704" t="s">
        <v>186</v>
      </c>
      <c r="F704">
        <v>13300</v>
      </c>
      <c r="H704">
        <f t="shared" si="24"/>
        <v>7</v>
      </c>
      <c r="I704">
        <f t="shared" si="25"/>
        <v>2021</v>
      </c>
    </row>
    <row r="705" spans="1:9" x14ac:dyDescent="0.3">
      <c r="A705" s="1">
        <v>44391</v>
      </c>
      <c r="B705" t="s">
        <v>234</v>
      </c>
      <c r="C705" t="s">
        <v>98</v>
      </c>
      <c r="D705" t="s">
        <v>12</v>
      </c>
      <c r="E705" t="s">
        <v>6</v>
      </c>
      <c r="F705">
        <v>1050</v>
      </c>
      <c r="H705">
        <f t="shared" si="24"/>
        <v>7</v>
      </c>
      <c r="I705">
        <f t="shared" si="25"/>
        <v>2021</v>
      </c>
    </row>
    <row r="706" spans="1:9" x14ac:dyDescent="0.3">
      <c r="A706" s="1">
        <v>44391</v>
      </c>
      <c r="B706" t="s">
        <v>234</v>
      </c>
      <c r="C706" t="s">
        <v>225</v>
      </c>
      <c r="D706" t="s">
        <v>25</v>
      </c>
      <c r="E706" t="s">
        <v>119</v>
      </c>
      <c r="F706">
        <v>1500</v>
      </c>
      <c r="H706">
        <f t="shared" si="24"/>
        <v>7</v>
      </c>
      <c r="I706">
        <f t="shared" si="25"/>
        <v>2021</v>
      </c>
    </row>
    <row r="707" spans="1:9" x14ac:dyDescent="0.3">
      <c r="A707" s="1">
        <v>44391</v>
      </c>
      <c r="B707" t="s">
        <v>234</v>
      </c>
      <c r="C707" t="s">
        <v>108</v>
      </c>
      <c r="D707" t="s">
        <v>12</v>
      </c>
      <c r="E707" t="s">
        <v>99</v>
      </c>
      <c r="F707">
        <v>1080</v>
      </c>
      <c r="H707">
        <f t="shared" si="24"/>
        <v>7</v>
      </c>
      <c r="I707">
        <f t="shared" si="25"/>
        <v>2021</v>
      </c>
    </row>
    <row r="708" spans="1:9" x14ac:dyDescent="0.3">
      <c r="A708" s="1">
        <v>44391</v>
      </c>
      <c r="B708" t="s">
        <v>234</v>
      </c>
      <c r="C708" t="s">
        <v>133</v>
      </c>
      <c r="D708" t="s">
        <v>5</v>
      </c>
      <c r="E708" t="s">
        <v>99</v>
      </c>
      <c r="F708">
        <v>540</v>
      </c>
      <c r="H708">
        <f t="shared" si="24"/>
        <v>7</v>
      </c>
      <c r="I708">
        <f t="shared" si="25"/>
        <v>2021</v>
      </c>
    </row>
    <row r="709" spans="1:9" x14ac:dyDescent="0.3">
      <c r="A709" s="1">
        <v>44391</v>
      </c>
      <c r="B709" t="s">
        <v>234</v>
      </c>
      <c r="C709" t="s">
        <v>40</v>
      </c>
      <c r="D709" t="s">
        <v>12</v>
      </c>
      <c r="E709" t="s">
        <v>104</v>
      </c>
      <c r="F709">
        <v>660</v>
      </c>
      <c r="H709">
        <f t="shared" si="24"/>
        <v>7</v>
      </c>
      <c r="I709">
        <f t="shared" si="25"/>
        <v>2021</v>
      </c>
    </row>
    <row r="710" spans="1:9" x14ac:dyDescent="0.3">
      <c r="A710" s="1">
        <v>44391</v>
      </c>
      <c r="B710" t="s">
        <v>234</v>
      </c>
      <c r="C710" t="s">
        <v>44</v>
      </c>
      <c r="D710" t="s">
        <v>93</v>
      </c>
      <c r="E710" t="s">
        <v>43</v>
      </c>
      <c r="F710">
        <v>1560</v>
      </c>
      <c r="H710">
        <f t="shared" si="24"/>
        <v>7</v>
      </c>
      <c r="I710">
        <f t="shared" si="25"/>
        <v>2021</v>
      </c>
    </row>
    <row r="711" spans="1:9" x14ac:dyDescent="0.3">
      <c r="A711" s="1">
        <v>44391</v>
      </c>
      <c r="B711" t="s">
        <v>234</v>
      </c>
      <c r="C711" t="s">
        <v>11</v>
      </c>
      <c r="D711" t="s">
        <v>12</v>
      </c>
      <c r="E711" t="s">
        <v>62</v>
      </c>
      <c r="F711">
        <v>684</v>
      </c>
      <c r="H711">
        <f t="shared" si="24"/>
        <v>7</v>
      </c>
      <c r="I711">
        <f t="shared" si="25"/>
        <v>2021</v>
      </c>
    </row>
    <row r="712" spans="1:9" x14ac:dyDescent="0.3">
      <c r="A712" s="1">
        <v>44391</v>
      </c>
      <c r="B712" t="s">
        <v>234</v>
      </c>
      <c r="C712" t="s">
        <v>142</v>
      </c>
      <c r="D712" t="s">
        <v>12</v>
      </c>
      <c r="E712" t="s">
        <v>156</v>
      </c>
      <c r="F712">
        <v>1000</v>
      </c>
      <c r="H712">
        <f t="shared" si="24"/>
        <v>7</v>
      </c>
      <c r="I712">
        <f t="shared" si="25"/>
        <v>2021</v>
      </c>
    </row>
    <row r="713" spans="1:9" x14ac:dyDescent="0.3">
      <c r="A713" s="1">
        <v>44391</v>
      </c>
      <c r="B713" t="s">
        <v>234</v>
      </c>
      <c r="C713" t="s">
        <v>293</v>
      </c>
      <c r="D713" t="s">
        <v>9</v>
      </c>
      <c r="E713" t="s">
        <v>214</v>
      </c>
      <c r="F713">
        <v>4300</v>
      </c>
      <c r="H713">
        <f t="shared" si="24"/>
        <v>7</v>
      </c>
      <c r="I713">
        <f t="shared" si="25"/>
        <v>2021</v>
      </c>
    </row>
    <row r="714" spans="1:9" x14ac:dyDescent="0.3">
      <c r="A714" s="1">
        <v>44391</v>
      </c>
      <c r="B714" t="s">
        <v>299</v>
      </c>
      <c r="G714">
        <v>2800</v>
      </c>
      <c r="H714">
        <f t="shared" si="24"/>
        <v>7</v>
      </c>
      <c r="I714">
        <f t="shared" si="25"/>
        <v>2021</v>
      </c>
    </row>
    <row r="715" spans="1:9" x14ac:dyDescent="0.3">
      <c r="A715" s="1">
        <v>44391</v>
      </c>
      <c r="B715" t="s">
        <v>299</v>
      </c>
      <c r="C715" t="s">
        <v>293</v>
      </c>
      <c r="D715" t="s">
        <v>73</v>
      </c>
      <c r="E715" t="s">
        <v>317</v>
      </c>
      <c r="F715">
        <v>2800</v>
      </c>
      <c r="H715">
        <f t="shared" si="24"/>
        <v>7</v>
      </c>
      <c r="I715">
        <f t="shared" si="25"/>
        <v>2021</v>
      </c>
    </row>
    <row r="716" spans="1:9" x14ac:dyDescent="0.3">
      <c r="A716" s="1">
        <v>44392</v>
      </c>
      <c r="B716" t="s">
        <v>82</v>
      </c>
      <c r="G716">
        <v>3800</v>
      </c>
      <c r="H716">
        <f t="shared" si="24"/>
        <v>7</v>
      </c>
      <c r="I716">
        <f t="shared" si="25"/>
        <v>2021</v>
      </c>
    </row>
    <row r="717" spans="1:9" x14ac:dyDescent="0.3">
      <c r="A717" s="1">
        <v>44392</v>
      </c>
      <c r="B717" t="s">
        <v>82</v>
      </c>
      <c r="C717" t="s">
        <v>94</v>
      </c>
      <c r="D717" t="s">
        <v>251</v>
      </c>
      <c r="E717" t="s">
        <v>186</v>
      </c>
      <c r="F717">
        <v>3800</v>
      </c>
      <c r="H717">
        <f t="shared" si="24"/>
        <v>7</v>
      </c>
      <c r="I717">
        <f t="shared" si="25"/>
        <v>2021</v>
      </c>
    </row>
    <row r="718" spans="1:9" x14ac:dyDescent="0.3">
      <c r="A718" s="1">
        <v>44393</v>
      </c>
      <c r="B718" t="s">
        <v>201</v>
      </c>
      <c r="G718">
        <v>2700</v>
      </c>
      <c r="H718">
        <f t="shared" si="24"/>
        <v>7</v>
      </c>
      <c r="I718">
        <f t="shared" si="25"/>
        <v>2021</v>
      </c>
    </row>
    <row r="719" spans="1:9" x14ac:dyDescent="0.3">
      <c r="A719" s="1">
        <v>44393</v>
      </c>
      <c r="B719" t="s">
        <v>201</v>
      </c>
      <c r="C719" t="s">
        <v>98</v>
      </c>
      <c r="D719" t="s">
        <v>25</v>
      </c>
      <c r="E719" t="s">
        <v>99</v>
      </c>
      <c r="F719">
        <v>2700</v>
      </c>
      <c r="H719">
        <f t="shared" si="24"/>
        <v>7</v>
      </c>
      <c r="I719">
        <f t="shared" si="25"/>
        <v>2021</v>
      </c>
    </row>
    <row r="720" spans="1:9" x14ac:dyDescent="0.3">
      <c r="A720" s="1">
        <v>44393</v>
      </c>
      <c r="B720" t="s">
        <v>318</v>
      </c>
      <c r="G720">
        <v>4000</v>
      </c>
      <c r="H720">
        <f t="shared" si="24"/>
        <v>7</v>
      </c>
      <c r="I720">
        <f t="shared" si="25"/>
        <v>2021</v>
      </c>
    </row>
    <row r="721" spans="1:9" x14ac:dyDescent="0.3">
      <c r="A721" s="1">
        <v>44393</v>
      </c>
      <c r="B721" t="s">
        <v>318</v>
      </c>
      <c r="C721" t="s">
        <v>148</v>
      </c>
      <c r="D721" t="s">
        <v>9</v>
      </c>
      <c r="E721" t="s">
        <v>254</v>
      </c>
      <c r="F721">
        <v>4000</v>
      </c>
      <c r="H721">
        <f t="shared" si="24"/>
        <v>7</v>
      </c>
      <c r="I721">
        <f t="shared" si="25"/>
        <v>2021</v>
      </c>
    </row>
    <row r="722" spans="1:9" x14ac:dyDescent="0.3">
      <c r="A722" s="1">
        <v>44393</v>
      </c>
      <c r="B722" t="s">
        <v>318</v>
      </c>
      <c r="C722" t="s">
        <v>148</v>
      </c>
      <c r="D722" t="s">
        <v>93</v>
      </c>
      <c r="E722" t="s">
        <v>254</v>
      </c>
      <c r="H722">
        <f t="shared" si="24"/>
        <v>7</v>
      </c>
      <c r="I722">
        <f t="shared" si="25"/>
        <v>2021</v>
      </c>
    </row>
    <row r="723" spans="1:9" x14ac:dyDescent="0.3">
      <c r="A723" s="1">
        <v>44393</v>
      </c>
      <c r="B723" t="s">
        <v>8</v>
      </c>
      <c r="G723">
        <v>350</v>
      </c>
      <c r="H723">
        <f t="shared" si="24"/>
        <v>7</v>
      </c>
      <c r="I723">
        <f t="shared" si="25"/>
        <v>2021</v>
      </c>
    </row>
    <row r="724" spans="1:9" x14ac:dyDescent="0.3">
      <c r="A724" s="1">
        <v>44393</v>
      </c>
      <c r="B724" t="s">
        <v>8</v>
      </c>
      <c r="C724" t="s">
        <v>38</v>
      </c>
      <c r="D724" t="s">
        <v>5</v>
      </c>
      <c r="E724" t="s">
        <v>100</v>
      </c>
      <c r="F724">
        <v>350</v>
      </c>
      <c r="H724">
        <f t="shared" si="24"/>
        <v>7</v>
      </c>
      <c r="I724">
        <f t="shared" si="25"/>
        <v>2021</v>
      </c>
    </row>
    <row r="725" spans="1:9" x14ac:dyDescent="0.3">
      <c r="A725" s="1">
        <v>44393</v>
      </c>
      <c r="B725" t="s">
        <v>196</v>
      </c>
      <c r="G725">
        <v>5100</v>
      </c>
      <c r="H725">
        <f t="shared" si="24"/>
        <v>7</v>
      </c>
      <c r="I725">
        <f t="shared" si="25"/>
        <v>2021</v>
      </c>
    </row>
    <row r="726" spans="1:9" x14ac:dyDescent="0.3">
      <c r="A726" s="1">
        <v>44393</v>
      </c>
      <c r="B726" t="s">
        <v>196</v>
      </c>
      <c r="C726" t="s">
        <v>98</v>
      </c>
      <c r="D726" t="s">
        <v>23</v>
      </c>
      <c r="E726" t="s">
        <v>99</v>
      </c>
      <c r="F726">
        <v>1620</v>
      </c>
      <c r="H726">
        <f t="shared" si="24"/>
        <v>7</v>
      </c>
      <c r="I726">
        <f t="shared" si="25"/>
        <v>2021</v>
      </c>
    </row>
    <row r="727" spans="1:9" x14ac:dyDescent="0.3">
      <c r="A727" s="1">
        <v>44393</v>
      </c>
      <c r="B727" t="s">
        <v>196</v>
      </c>
      <c r="C727" t="s">
        <v>134</v>
      </c>
      <c r="D727" t="s">
        <v>23</v>
      </c>
      <c r="E727" t="s">
        <v>99</v>
      </c>
      <c r="F727">
        <v>1620</v>
      </c>
      <c r="H727">
        <f t="shared" si="24"/>
        <v>7</v>
      </c>
      <c r="I727">
        <f t="shared" si="25"/>
        <v>2021</v>
      </c>
    </row>
    <row r="728" spans="1:9" x14ac:dyDescent="0.3">
      <c r="A728" s="1">
        <v>44393</v>
      </c>
      <c r="B728" t="s">
        <v>196</v>
      </c>
      <c r="C728" t="s">
        <v>146</v>
      </c>
      <c r="D728" t="s">
        <v>12</v>
      </c>
      <c r="E728" t="s">
        <v>99</v>
      </c>
      <c r="F728">
        <v>1080</v>
      </c>
      <c r="H728">
        <f t="shared" si="24"/>
        <v>7</v>
      </c>
      <c r="I728">
        <f t="shared" si="25"/>
        <v>2021</v>
      </c>
    </row>
    <row r="729" spans="1:9" x14ac:dyDescent="0.3">
      <c r="A729" s="1">
        <v>44393</v>
      </c>
      <c r="B729" t="s">
        <v>196</v>
      </c>
      <c r="C729" t="s">
        <v>148</v>
      </c>
      <c r="D729" t="s">
        <v>23</v>
      </c>
      <c r="E729" t="s">
        <v>177</v>
      </c>
      <c r="F729">
        <v>540</v>
      </c>
      <c r="H729">
        <f t="shared" ref="H729:H787" si="26">MONTH(A729)</f>
        <v>7</v>
      </c>
      <c r="I729">
        <f t="shared" ref="I729:I787" si="27">YEAR(A729)</f>
        <v>2021</v>
      </c>
    </row>
    <row r="730" spans="1:9" x14ac:dyDescent="0.3">
      <c r="A730" s="1">
        <v>44393</v>
      </c>
      <c r="B730" t="s">
        <v>196</v>
      </c>
      <c r="C730" t="s">
        <v>278</v>
      </c>
      <c r="D730" t="s">
        <v>5</v>
      </c>
      <c r="E730" t="s">
        <v>236</v>
      </c>
      <c r="F730">
        <v>240</v>
      </c>
      <c r="H730">
        <f t="shared" si="26"/>
        <v>7</v>
      </c>
      <c r="I730">
        <f t="shared" si="27"/>
        <v>2021</v>
      </c>
    </row>
    <row r="731" spans="1:9" x14ac:dyDescent="0.3">
      <c r="A731" s="1">
        <v>44396</v>
      </c>
      <c r="B731" t="s">
        <v>299</v>
      </c>
      <c r="G731">
        <v>5700</v>
      </c>
      <c r="H731">
        <f t="shared" si="26"/>
        <v>7</v>
      </c>
      <c r="I731">
        <f t="shared" si="27"/>
        <v>2021</v>
      </c>
    </row>
    <row r="732" spans="1:9" x14ac:dyDescent="0.3">
      <c r="A732" s="1">
        <v>44396</v>
      </c>
      <c r="B732" t="s">
        <v>299</v>
      </c>
      <c r="C732" t="s">
        <v>94</v>
      </c>
      <c r="D732" t="s">
        <v>244</v>
      </c>
      <c r="E732" t="s">
        <v>186</v>
      </c>
      <c r="F732">
        <v>5700</v>
      </c>
      <c r="H732">
        <f t="shared" si="26"/>
        <v>7</v>
      </c>
      <c r="I732">
        <f t="shared" si="27"/>
        <v>2021</v>
      </c>
    </row>
    <row r="733" spans="1:9" x14ac:dyDescent="0.3">
      <c r="A733" s="1">
        <v>44397</v>
      </c>
      <c r="B733" t="s">
        <v>55</v>
      </c>
      <c r="G733">
        <v>13200</v>
      </c>
      <c r="H733">
        <f t="shared" si="26"/>
        <v>7</v>
      </c>
      <c r="I733">
        <f t="shared" si="27"/>
        <v>2021</v>
      </c>
    </row>
    <row r="734" spans="1:9" x14ac:dyDescent="0.3">
      <c r="A734" s="1">
        <v>44397</v>
      </c>
      <c r="B734" t="s">
        <v>55</v>
      </c>
      <c r="C734" t="s">
        <v>40</v>
      </c>
      <c r="D734" t="s">
        <v>54</v>
      </c>
      <c r="E734" t="s">
        <v>104</v>
      </c>
      <c r="F734">
        <v>13200</v>
      </c>
      <c r="H734">
        <f t="shared" si="26"/>
        <v>7</v>
      </c>
      <c r="I734">
        <f t="shared" si="27"/>
        <v>2021</v>
      </c>
    </row>
    <row r="735" spans="1:9" x14ac:dyDescent="0.3">
      <c r="A735" s="1">
        <v>44397</v>
      </c>
      <c r="B735" t="s">
        <v>8</v>
      </c>
      <c r="G735">
        <v>23400</v>
      </c>
      <c r="H735">
        <f t="shared" si="26"/>
        <v>7</v>
      </c>
      <c r="I735">
        <f t="shared" si="27"/>
        <v>2021</v>
      </c>
    </row>
    <row r="736" spans="1:9" x14ac:dyDescent="0.3">
      <c r="A736" s="1">
        <v>44397</v>
      </c>
      <c r="B736" t="s">
        <v>8</v>
      </c>
      <c r="C736" t="s">
        <v>40</v>
      </c>
      <c r="D736" t="s">
        <v>52</v>
      </c>
      <c r="E736" t="s">
        <v>104</v>
      </c>
      <c r="F736">
        <v>16500</v>
      </c>
      <c r="H736">
        <f t="shared" si="26"/>
        <v>7</v>
      </c>
      <c r="I736">
        <f t="shared" si="27"/>
        <v>2021</v>
      </c>
    </row>
    <row r="737" spans="1:9" x14ac:dyDescent="0.3">
      <c r="A737" s="1">
        <v>44397</v>
      </c>
      <c r="B737" t="s">
        <v>8</v>
      </c>
      <c r="C737" t="s">
        <v>38</v>
      </c>
      <c r="D737" t="s">
        <v>9</v>
      </c>
      <c r="E737" t="s">
        <v>13</v>
      </c>
      <c r="F737">
        <v>6900</v>
      </c>
      <c r="H737">
        <f t="shared" si="26"/>
        <v>7</v>
      </c>
      <c r="I737">
        <f t="shared" si="27"/>
        <v>2021</v>
      </c>
    </row>
    <row r="738" spans="1:9" x14ac:dyDescent="0.3">
      <c r="A738" s="1">
        <v>44397</v>
      </c>
      <c r="B738" t="s">
        <v>209</v>
      </c>
      <c r="G738">
        <v>26843</v>
      </c>
      <c r="H738">
        <f t="shared" si="26"/>
        <v>7</v>
      </c>
      <c r="I738">
        <f t="shared" si="27"/>
        <v>2021</v>
      </c>
    </row>
    <row r="739" spans="1:9" x14ac:dyDescent="0.3">
      <c r="A739" s="1">
        <v>44397</v>
      </c>
      <c r="B739" t="s">
        <v>209</v>
      </c>
      <c r="C739" t="s">
        <v>33</v>
      </c>
      <c r="D739" t="s">
        <v>163</v>
      </c>
      <c r="E739" t="s">
        <v>164</v>
      </c>
      <c r="F739">
        <v>9810</v>
      </c>
      <c r="H739">
        <f t="shared" si="26"/>
        <v>7</v>
      </c>
      <c r="I739">
        <f t="shared" si="27"/>
        <v>2021</v>
      </c>
    </row>
    <row r="740" spans="1:9" x14ac:dyDescent="0.3">
      <c r="A740" s="1">
        <v>44397</v>
      </c>
      <c r="B740" t="s">
        <v>209</v>
      </c>
      <c r="C740" t="s">
        <v>22</v>
      </c>
      <c r="D740" t="s">
        <v>15</v>
      </c>
      <c r="E740" t="s">
        <v>302</v>
      </c>
      <c r="F740">
        <v>9990</v>
      </c>
      <c r="H740">
        <f t="shared" si="26"/>
        <v>7</v>
      </c>
      <c r="I740">
        <f t="shared" si="27"/>
        <v>2021</v>
      </c>
    </row>
    <row r="741" spans="1:9" x14ac:dyDescent="0.3">
      <c r="A741" s="1">
        <v>44397</v>
      </c>
      <c r="B741" t="s">
        <v>209</v>
      </c>
      <c r="C741" t="s">
        <v>173</v>
      </c>
      <c r="D741" t="s">
        <v>63</v>
      </c>
      <c r="E741" t="s">
        <v>319</v>
      </c>
      <c r="F741">
        <v>7043</v>
      </c>
      <c r="H741">
        <f t="shared" si="26"/>
        <v>7</v>
      </c>
      <c r="I741">
        <f t="shared" si="27"/>
        <v>2021</v>
      </c>
    </row>
    <row r="742" spans="1:9" x14ac:dyDescent="0.3">
      <c r="A742" s="1">
        <v>44397</v>
      </c>
      <c r="B742" t="s">
        <v>83</v>
      </c>
      <c r="G742">
        <v>6600</v>
      </c>
      <c r="H742">
        <f t="shared" si="26"/>
        <v>7</v>
      </c>
      <c r="I742">
        <f t="shared" si="27"/>
        <v>2021</v>
      </c>
    </row>
    <row r="743" spans="1:9" x14ac:dyDescent="0.3">
      <c r="A743" s="1">
        <v>44397</v>
      </c>
      <c r="B743" t="s">
        <v>83</v>
      </c>
      <c r="C743" t="s">
        <v>40</v>
      </c>
      <c r="D743" t="s">
        <v>9</v>
      </c>
      <c r="E743" t="s">
        <v>104</v>
      </c>
      <c r="F743">
        <v>6600</v>
      </c>
      <c r="H743">
        <f t="shared" si="26"/>
        <v>7</v>
      </c>
      <c r="I743">
        <f t="shared" si="27"/>
        <v>2021</v>
      </c>
    </row>
    <row r="744" spans="1:9" x14ac:dyDescent="0.3">
      <c r="A744" s="1">
        <v>44400</v>
      </c>
      <c r="B744" t="s">
        <v>3</v>
      </c>
      <c r="G744">
        <v>1650</v>
      </c>
      <c r="H744">
        <f t="shared" si="26"/>
        <v>7</v>
      </c>
      <c r="I744">
        <f t="shared" si="27"/>
        <v>2021</v>
      </c>
    </row>
    <row r="745" spans="1:9" x14ac:dyDescent="0.3">
      <c r="A745" s="1">
        <v>44400</v>
      </c>
      <c r="B745" t="s">
        <v>3</v>
      </c>
      <c r="C745" t="s">
        <v>40</v>
      </c>
      <c r="D745" t="s">
        <v>25</v>
      </c>
      <c r="E745" t="s">
        <v>104</v>
      </c>
      <c r="F745">
        <v>1650</v>
      </c>
      <c r="H745">
        <f t="shared" si="26"/>
        <v>7</v>
      </c>
      <c r="I745">
        <f t="shared" si="27"/>
        <v>2021</v>
      </c>
    </row>
    <row r="746" spans="1:9" x14ac:dyDescent="0.3">
      <c r="A746" s="1">
        <v>44402</v>
      </c>
      <c r="B746" t="s">
        <v>141</v>
      </c>
      <c r="G746">
        <v>4830</v>
      </c>
      <c r="H746">
        <f t="shared" si="26"/>
        <v>7</v>
      </c>
      <c r="I746">
        <f t="shared" si="27"/>
        <v>2021</v>
      </c>
    </row>
    <row r="747" spans="1:9" x14ac:dyDescent="0.3">
      <c r="A747" s="1">
        <v>44402</v>
      </c>
      <c r="B747" t="s">
        <v>141</v>
      </c>
      <c r="C747" t="s">
        <v>148</v>
      </c>
      <c r="D747" t="s">
        <v>9</v>
      </c>
      <c r="E747" t="s">
        <v>149</v>
      </c>
      <c r="F747">
        <v>3700</v>
      </c>
      <c r="H747">
        <f t="shared" si="26"/>
        <v>7</v>
      </c>
      <c r="I747">
        <f t="shared" si="27"/>
        <v>2021</v>
      </c>
    </row>
    <row r="748" spans="1:9" x14ac:dyDescent="0.3">
      <c r="A748" s="1">
        <v>44402</v>
      </c>
      <c r="B748" t="s">
        <v>141</v>
      </c>
      <c r="C748" t="s">
        <v>165</v>
      </c>
      <c r="D748" t="s">
        <v>23</v>
      </c>
      <c r="E748" t="s">
        <v>223</v>
      </c>
      <c r="F748">
        <v>630</v>
      </c>
      <c r="H748">
        <f t="shared" si="26"/>
        <v>7</v>
      </c>
      <c r="I748">
        <f t="shared" si="27"/>
        <v>2021</v>
      </c>
    </row>
    <row r="749" spans="1:9" x14ac:dyDescent="0.3">
      <c r="A749" s="1">
        <v>44402</v>
      </c>
      <c r="B749" t="s">
        <v>141</v>
      </c>
      <c r="C749" t="s">
        <v>235</v>
      </c>
      <c r="D749" t="s">
        <v>12</v>
      </c>
      <c r="E749" t="s">
        <v>105</v>
      </c>
      <c r="F749">
        <v>500</v>
      </c>
      <c r="H749">
        <f t="shared" si="26"/>
        <v>7</v>
      </c>
      <c r="I749">
        <f t="shared" si="27"/>
        <v>2021</v>
      </c>
    </row>
    <row r="750" spans="1:9" x14ac:dyDescent="0.3">
      <c r="A750" s="1">
        <v>44402</v>
      </c>
      <c r="B750" t="s">
        <v>75</v>
      </c>
      <c r="G750">
        <v>2850</v>
      </c>
      <c r="H750">
        <f t="shared" si="26"/>
        <v>7</v>
      </c>
      <c r="I750">
        <f t="shared" si="27"/>
        <v>2021</v>
      </c>
    </row>
    <row r="751" spans="1:9" x14ac:dyDescent="0.3">
      <c r="A751" s="1">
        <v>44402</v>
      </c>
      <c r="B751" t="s">
        <v>75</v>
      </c>
      <c r="C751" t="s">
        <v>94</v>
      </c>
      <c r="D751" t="s">
        <v>184</v>
      </c>
      <c r="E751" t="s">
        <v>186</v>
      </c>
      <c r="F751">
        <v>2850</v>
      </c>
      <c r="H751">
        <f t="shared" si="26"/>
        <v>7</v>
      </c>
      <c r="I751">
        <f t="shared" si="27"/>
        <v>2021</v>
      </c>
    </row>
    <row r="752" spans="1:9" x14ac:dyDescent="0.3">
      <c r="A752" s="1">
        <v>44402</v>
      </c>
      <c r="B752" t="s">
        <v>158</v>
      </c>
      <c r="G752">
        <v>1650</v>
      </c>
      <c r="H752">
        <f t="shared" si="26"/>
        <v>7</v>
      </c>
      <c r="I752">
        <f t="shared" si="27"/>
        <v>2021</v>
      </c>
    </row>
    <row r="753" spans="1:9" x14ac:dyDescent="0.3">
      <c r="A753" s="1">
        <v>44402</v>
      </c>
      <c r="B753" t="s">
        <v>158</v>
      </c>
      <c r="C753" t="s">
        <v>40</v>
      </c>
      <c r="D753" t="s">
        <v>25</v>
      </c>
      <c r="E753" t="s">
        <v>104</v>
      </c>
      <c r="F753">
        <v>1650</v>
      </c>
      <c r="H753">
        <f t="shared" si="26"/>
        <v>7</v>
      </c>
      <c r="I753">
        <f t="shared" si="27"/>
        <v>2021</v>
      </c>
    </row>
    <row r="754" spans="1:9" x14ac:dyDescent="0.3">
      <c r="A754" s="1">
        <v>44402</v>
      </c>
      <c r="B754" t="s">
        <v>248</v>
      </c>
      <c r="G754">
        <v>1950</v>
      </c>
      <c r="H754">
        <f t="shared" si="26"/>
        <v>7</v>
      </c>
      <c r="I754">
        <f t="shared" si="27"/>
        <v>2021</v>
      </c>
    </row>
    <row r="755" spans="1:9" x14ac:dyDescent="0.3">
      <c r="A755" s="1">
        <v>44402</v>
      </c>
      <c r="B755" t="s">
        <v>248</v>
      </c>
      <c r="C755" t="s">
        <v>94</v>
      </c>
      <c r="D755" t="s">
        <v>180</v>
      </c>
      <c r="E755" t="s">
        <v>263</v>
      </c>
      <c r="F755">
        <v>1950</v>
      </c>
      <c r="H755">
        <f t="shared" si="26"/>
        <v>7</v>
      </c>
      <c r="I755">
        <f t="shared" si="27"/>
        <v>2021</v>
      </c>
    </row>
    <row r="756" spans="1:9" x14ac:dyDescent="0.3">
      <c r="A756" s="1">
        <v>44402</v>
      </c>
      <c r="B756" t="s">
        <v>97</v>
      </c>
      <c r="G756">
        <v>12895</v>
      </c>
      <c r="H756">
        <f t="shared" si="26"/>
        <v>7</v>
      </c>
      <c r="I756">
        <f t="shared" si="27"/>
        <v>2021</v>
      </c>
    </row>
    <row r="757" spans="1:9" x14ac:dyDescent="0.3">
      <c r="A757" s="1">
        <v>44402</v>
      </c>
      <c r="B757" t="s">
        <v>97</v>
      </c>
      <c r="C757" t="s">
        <v>98</v>
      </c>
      <c r="D757" t="s">
        <v>37</v>
      </c>
      <c r="E757" t="s">
        <v>99</v>
      </c>
      <c r="F757">
        <v>5400</v>
      </c>
      <c r="H757">
        <f t="shared" si="26"/>
        <v>7</v>
      </c>
      <c r="I757">
        <f t="shared" si="27"/>
        <v>2021</v>
      </c>
    </row>
    <row r="758" spans="1:9" x14ac:dyDescent="0.3">
      <c r="A758" s="1">
        <v>44402</v>
      </c>
      <c r="B758" t="s">
        <v>97</v>
      </c>
      <c r="C758" t="s">
        <v>94</v>
      </c>
      <c r="D758" t="s">
        <v>180</v>
      </c>
      <c r="E758" t="s">
        <v>263</v>
      </c>
      <c r="F758">
        <v>1950</v>
      </c>
      <c r="H758">
        <f t="shared" si="26"/>
        <v>7</v>
      </c>
      <c r="I758">
        <f t="shared" si="27"/>
        <v>2021</v>
      </c>
    </row>
    <row r="759" spans="1:9" x14ac:dyDescent="0.3">
      <c r="A759" s="1">
        <v>44402</v>
      </c>
      <c r="B759" t="s">
        <v>97</v>
      </c>
      <c r="C759" t="s">
        <v>154</v>
      </c>
      <c r="D759" t="s">
        <v>12</v>
      </c>
      <c r="E759" t="s">
        <v>170</v>
      </c>
      <c r="F759">
        <v>1720</v>
      </c>
      <c r="H759">
        <f t="shared" si="26"/>
        <v>7</v>
      </c>
      <c r="I759">
        <f t="shared" si="27"/>
        <v>2021</v>
      </c>
    </row>
    <row r="760" spans="1:9" x14ac:dyDescent="0.3">
      <c r="A760" s="1">
        <v>44402</v>
      </c>
      <c r="B760" t="s">
        <v>97</v>
      </c>
      <c r="C760" t="s">
        <v>134</v>
      </c>
      <c r="D760" t="s">
        <v>5</v>
      </c>
      <c r="E760" t="s">
        <v>164</v>
      </c>
      <c r="F760">
        <v>545</v>
      </c>
      <c r="H760">
        <f t="shared" si="26"/>
        <v>7</v>
      </c>
      <c r="I760">
        <f t="shared" si="27"/>
        <v>2021</v>
      </c>
    </row>
    <row r="761" spans="1:9" x14ac:dyDescent="0.3">
      <c r="A761" s="1">
        <v>44402</v>
      </c>
      <c r="B761" t="s">
        <v>97</v>
      </c>
      <c r="C761" t="s">
        <v>147</v>
      </c>
      <c r="D761" t="s">
        <v>23</v>
      </c>
      <c r="E761" t="s">
        <v>229</v>
      </c>
      <c r="F761">
        <v>1935</v>
      </c>
      <c r="H761">
        <f t="shared" si="26"/>
        <v>7</v>
      </c>
      <c r="I761">
        <f t="shared" si="27"/>
        <v>2021</v>
      </c>
    </row>
    <row r="762" spans="1:9" x14ac:dyDescent="0.3">
      <c r="A762" s="1">
        <v>44402</v>
      </c>
      <c r="B762" t="s">
        <v>97</v>
      </c>
      <c r="C762" t="s">
        <v>310</v>
      </c>
      <c r="D762" t="s">
        <v>5</v>
      </c>
      <c r="E762" t="s">
        <v>178</v>
      </c>
      <c r="F762">
        <v>800</v>
      </c>
      <c r="H762">
        <f t="shared" si="26"/>
        <v>7</v>
      </c>
      <c r="I762">
        <f t="shared" si="27"/>
        <v>2021</v>
      </c>
    </row>
    <row r="763" spans="1:9" x14ac:dyDescent="0.3">
      <c r="A763" s="1">
        <v>44402</v>
      </c>
      <c r="B763" t="s">
        <v>97</v>
      </c>
      <c r="C763" t="s">
        <v>307</v>
      </c>
      <c r="D763" t="s">
        <v>5</v>
      </c>
      <c r="E763" t="s">
        <v>164</v>
      </c>
      <c r="F763">
        <v>545</v>
      </c>
      <c r="H763">
        <f t="shared" si="26"/>
        <v>7</v>
      </c>
      <c r="I763">
        <f t="shared" si="27"/>
        <v>2021</v>
      </c>
    </row>
    <row r="764" spans="1:9" x14ac:dyDescent="0.3">
      <c r="A764" s="1">
        <v>44403</v>
      </c>
      <c r="B764" t="s">
        <v>130</v>
      </c>
      <c r="G764">
        <v>3140</v>
      </c>
      <c r="H764">
        <f t="shared" si="26"/>
        <v>7</v>
      </c>
      <c r="I764">
        <f t="shared" si="27"/>
        <v>2021</v>
      </c>
    </row>
    <row r="765" spans="1:9" x14ac:dyDescent="0.3">
      <c r="A765" s="1">
        <v>44403</v>
      </c>
      <c r="B765" t="s">
        <v>130</v>
      </c>
      <c r="C765" t="s">
        <v>38</v>
      </c>
      <c r="D765" t="s">
        <v>93</v>
      </c>
      <c r="E765" t="s">
        <v>320</v>
      </c>
      <c r="F765">
        <v>1390</v>
      </c>
      <c r="H765">
        <f t="shared" si="26"/>
        <v>7</v>
      </c>
      <c r="I765">
        <f t="shared" si="27"/>
        <v>2021</v>
      </c>
    </row>
    <row r="766" spans="1:9" x14ac:dyDescent="0.3">
      <c r="A766" s="1">
        <v>44403</v>
      </c>
      <c r="B766" t="s">
        <v>130</v>
      </c>
      <c r="C766" t="s">
        <v>38</v>
      </c>
      <c r="D766" t="s">
        <v>25</v>
      </c>
      <c r="E766" t="s">
        <v>100</v>
      </c>
      <c r="F766">
        <v>1750</v>
      </c>
      <c r="H766">
        <f t="shared" si="26"/>
        <v>7</v>
      </c>
      <c r="I766">
        <f t="shared" si="27"/>
        <v>2021</v>
      </c>
    </row>
    <row r="767" spans="1:9" x14ac:dyDescent="0.3">
      <c r="A767" s="1">
        <v>44403</v>
      </c>
      <c r="B767" t="s">
        <v>130</v>
      </c>
      <c r="G767">
        <v>1932</v>
      </c>
      <c r="H767">
        <f t="shared" si="26"/>
        <v>7</v>
      </c>
      <c r="I767">
        <f t="shared" si="27"/>
        <v>2021</v>
      </c>
    </row>
    <row r="768" spans="1:9" x14ac:dyDescent="0.3">
      <c r="A768" s="1">
        <v>44403</v>
      </c>
      <c r="B768" t="s">
        <v>130</v>
      </c>
      <c r="C768" t="s">
        <v>148</v>
      </c>
      <c r="D768" t="s">
        <v>25</v>
      </c>
      <c r="E768" t="s">
        <v>182</v>
      </c>
      <c r="F768">
        <v>950</v>
      </c>
      <c r="H768">
        <f t="shared" si="26"/>
        <v>7</v>
      </c>
      <c r="I768">
        <f t="shared" si="27"/>
        <v>2021</v>
      </c>
    </row>
    <row r="769" spans="1:9" x14ac:dyDescent="0.3">
      <c r="A769" s="1">
        <v>44403</v>
      </c>
      <c r="B769" t="s">
        <v>130</v>
      </c>
      <c r="C769" t="s">
        <v>165</v>
      </c>
      <c r="D769" t="s">
        <v>12</v>
      </c>
      <c r="E769" t="s">
        <v>166</v>
      </c>
      <c r="F769">
        <v>432</v>
      </c>
      <c r="H769">
        <f t="shared" si="26"/>
        <v>7</v>
      </c>
      <c r="I769">
        <f t="shared" si="27"/>
        <v>2021</v>
      </c>
    </row>
    <row r="770" spans="1:9" x14ac:dyDescent="0.3">
      <c r="A770" s="1">
        <v>44403</v>
      </c>
      <c r="B770" t="s">
        <v>130</v>
      </c>
      <c r="C770" t="s">
        <v>108</v>
      </c>
      <c r="D770" t="s">
        <v>5</v>
      </c>
      <c r="E770" t="s">
        <v>69</v>
      </c>
      <c r="F770">
        <v>550</v>
      </c>
      <c r="H770">
        <f t="shared" si="26"/>
        <v>7</v>
      </c>
      <c r="I770">
        <f t="shared" si="27"/>
        <v>2021</v>
      </c>
    </row>
    <row r="771" spans="1:9" x14ac:dyDescent="0.3">
      <c r="A771" s="1">
        <v>44403</v>
      </c>
      <c r="B771" t="s">
        <v>130</v>
      </c>
      <c r="G771">
        <v>5050</v>
      </c>
      <c r="H771">
        <f t="shared" si="26"/>
        <v>7</v>
      </c>
      <c r="I771">
        <f t="shared" si="27"/>
        <v>2021</v>
      </c>
    </row>
    <row r="772" spans="1:9" x14ac:dyDescent="0.3">
      <c r="A772" s="1">
        <v>44403</v>
      </c>
      <c r="B772" t="s">
        <v>130</v>
      </c>
      <c r="C772" t="s">
        <v>204</v>
      </c>
      <c r="D772" t="s">
        <v>5</v>
      </c>
      <c r="E772" t="s">
        <v>205</v>
      </c>
      <c r="F772">
        <v>750</v>
      </c>
      <c r="H772">
        <f t="shared" si="26"/>
        <v>7</v>
      </c>
      <c r="I772">
        <f t="shared" si="27"/>
        <v>2021</v>
      </c>
    </row>
    <row r="773" spans="1:9" x14ac:dyDescent="0.3">
      <c r="A773" s="1">
        <v>44403</v>
      </c>
      <c r="B773" t="s">
        <v>130</v>
      </c>
      <c r="C773" t="s">
        <v>108</v>
      </c>
      <c r="D773" t="s">
        <v>12</v>
      </c>
      <c r="E773" t="s">
        <v>69</v>
      </c>
      <c r="F773">
        <v>1100</v>
      </c>
      <c r="H773">
        <f t="shared" si="26"/>
        <v>7</v>
      </c>
      <c r="I773">
        <f t="shared" si="27"/>
        <v>2021</v>
      </c>
    </row>
    <row r="774" spans="1:9" x14ac:dyDescent="0.3">
      <c r="A774" s="1">
        <v>44403</v>
      </c>
      <c r="B774" t="s">
        <v>130</v>
      </c>
      <c r="C774" t="s">
        <v>133</v>
      </c>
      <c r="D774" t="s">
        <v>12</v>
      </c>
      <c r="E774" t="s">
        <v>69</v>
      </c>
      <c r="F774">
        <v>1100</v>
      </c>
      <c r="H774">
        <f t="shared" si="26"/>
        <v>7</v>
      </c>
      <c r="I774">
        <f t="shared" si="27"/>
        <v>2021</v>
      </c>
    </row>
    <row r="775" spans="1:9" x14ac:dyDescent="0.3">
      <c r="A775" s="1">
        <v>44403</v>
      </c>
      <c r="B775" t="s">
        <v>130</v>
      </c>
      <c r="C775" t="s">
        <v>148</v>
      </c>
      <c r="D775" t="s">
        <v>12</v>
      </c>
      <c r="E775" t="s">
        <v>182</v>
      </c>
      <c r="F775">
        <v>380</v>
      </c>
      <c r="H775">
        <f t="shared" si="26"/>
        <v>7</v>
      </c>
      <c r="I775">
        <f t="shared" si="27"/>
        <v>2021</v>
      </c>
    </row>
    <row r="776" spans="1:9" x14ac:dyDescent="0.3">
      <c r="A776" s="1">
        <v>44403</v>
      </c>
      <c r="B776" t="s">
        <v>130</v>
      </c>
      <c r="C776" t="s">
        <v>169</v>
      </c>
      <c r="D776" t="s">
        <v>5</v>
      </c>
      <c r="E776" t="s">
        <v>170</v>
      </c>
      <c r="F776">
        <v>860</v>
      </c>
      <c r="H776">
        <f t="shared" si="26"/>
        <v>7</v>
      </c>
      <c r="I776">
        <f t="shared" si="27"/>
        <v>2021</v>
      </c>
    </row>
    <row r="777" spans="1:9" x14ac:dyDescent="0.3">
      <c r="A777" s="1">
        <v>44403</v>
      </c>
      <c r="B777" t="s">
        <v>130</v>
      </c>
      <c r="C777" t="s">
        <v>167</v>
      </c>
      <c r="D777" t="s">
        <v>5</v>
      </c>
      <c r="E777" t="s">
        <v>170</v>
      </c>
      <c r="F777">
        <v>860</v>
      </c>
      <c r="H777">
        <f t="shared" si="26"/>
        <v>7</v>
      </c>
      <c r="I777">
        <f t="shared" si="27"/>
        <v>2021</v>
      </c>
    </row>
    <row r="778" spans="1:9" x14ac:dyDescent="0.3">
      <c r="A778" s="1">
        <v>44403</v>
      </c>
      <c r="B778" t="s">
        <v>130</v>
      </c>
      <c r="C778" t="s">
        <v>148</v>
      </c>
      <c r="D778" t="s">
        <v>5</v>
      </c>
      <c r="E778" t="s">
        <v>182</v>
      </c>
      <c r="H778">
        <f t="shared" si="26"/>
        <v>7</v>
      </c>
      <c r="I778">
        <f t="shared" si="27"/>
        <v>2021</v>
      </c>
    </row>
    <row r="779" spans="1:9" x14ac:dyDescent="0.3">
      <c r="A779" s="1">
        <v>44403</v>
      </c>
      <c r="B779" t="s">
        <v>130</v>
      </c>
      <c r="G779">
        <v>940</v>
      </c>
      <c r="H779">
        <f t="shared" si="26"/>
        <v>7</v>
      </c>
      <c r="I779">
        <f t="shared" si="27"/>
        <v>2021</v>
      </c>
    </row>
    <row r="780" spans="1:9" x14ac:dyDescent="0.3">
      <c r="A780" s="1">
        <v>44403</v>
      </c>
      <c r="B780" t="s">
        <v>130</v>
      </c>
      <c r="C780" t="s">
        <v>98</v>
      </c>
      <c r="D780" t="s">
        <v>5</v>
      </c>
      <c r="E780" t="s">
        <v>99</v>
      </c>
      <c r="F780">
        <v>540</v>
      </c>
      <c r="H780">
        <f t="shared" si="26"/>
        <v>7</v>
      </c>
      <c r="I780">
        <f t="shared" si="27"/>
        <v>2021</v>
      </c>
    </row>
    <row r="781" spans="1:9" x14ac:dyDescent="0.3">
      <c r="A781" s="1">
        <v>44403</v>
      </c>
      <c r="B781" t="s">
        <v>130</v>
      </c>
      <c r="C781" t="s">
        <v>94</v>
      </c>
      <c r="D781" t="s">
        <v>137</v>
      </c>
      <c r="E781" t="s">
        <v>132</v>
      </c>
      <c r="F781">
        <v>400</v>
      </c>
      <c r="H781">
        <f t="shared" si="26"/>
        <v>7</v>
      </c>
      <c r="I781">
        <f t="shared" si="27"/>
        <v>2021</v>
      </c>
    </row>
    <row r="782" spans="1:9" x14ac:dyDescent="0.3">
      <c r="A782" s="1">
        <v>44403</v>
      </c>
      <c r="B782" t="s">
        <v>130</v>
      </c>
      <c r="G782">
        <v>10353</v>
      </c>
      <c r="H782">
        <f t="shared" si="26"/>
        <v>7</v>
      </c>
      <c r="I782">
        <f t="shared" si="27"/>
        <v>2021</v>
      </c>
    </row>
    <row r="783" spans="1:9" x14ac:dyDescent="0.3">
      <c r="A783" s="1">
        <v>44403</v>
      </c>
      <c r="B783" t="s">
        <v>130</v>
      </c>
      <c r="C783" t="s">
        <v>176</v>
      </c>
      <c r="D783" t="s">
        <v>37</v>
      </c>
      <c r="E783" t="s">
        <v>150</v>
      </c>
      <c r="F783">
        <v>1950</v>
      </c>
      <c r="H783">
        <f t="shared" si="26"/>
        <v>7</v>
      </c>
      <c r="I783">
        <f t="shared" si="27"/>
        <v>2021</v>
      </c>
    </row>
    <row r="784" spans="1:9" x14ac:dyDescent="0.3">
      <c r="A784" s="1">
        <v>44403</v>
      </c>
      <c r="B784" t="s">
        <v>130</v>
      </c>
      <c r="C784" t="s">
        <v>165</v>
      </c>
      <c r="D784" t="s">
        <v>25</v>
      </c>
      <c r="E784" t="s">
        <v>150</v>
      </c>
      <c r="F784">
        <v>975</v>
      </c>
      <c r="H784">
        <f t="shared" si="26"/>
        <v>7</v>
      </c>
      <c r="I784">
        <f t="shared" si="27"/>
        <v>2021</v>
      </c>
    </row>
    <row r="785" spans="1:9" x14ac:dyDescent="0.3">
      <c r="A785" s="1">
        <v>44403</v>
      </c>
      <c r="B785" t="s">
        <v>130</v>
      </c>
      <c r="C785" t="s">
        <v>235</v>
      </c>
      <c r="D785" t="s">
        <v>25</v>
      </c>
      <c r="E785" t="s">
        <v>321</v>
      </c>
      <c r="F785">
        <v>1190</v>
      </c>
      <c r="H785">
        <f t="shared" si="26"/>
        <v>7</v>
      </c>
      <c r="I785">
        <f t="shared" si="27"/>
        <v>2021</v>
      </c>
    </row>
    <row r="786" spans="1:9" x14ac:dyDescent="0.3">
      <c r="A786" s="1">
        <v>44403</v>
      </c>
      <c r="B786" t="s">
        <v>130</v>
      </c>
      <c r="C786" t="s">
        <v>108</v>
      </c>
      <c r="D786" t="s">
        <v>25</v>
      </c>
      <c r="E786" t="s">
        <v>151</v>
      </c>
      <c r="F786">
        <v>2740</v>
      </c>
      <c r="H786">
        <f t="shared" si="26"/>
        <v>7</v>
      </c>
      <c r="I786">
        <f t="shared" si="27"/>
        <v>2021</v>
      </c>
    </row>
    <row r="787" spans="1:9" x14ac:dyDescent="0.3">
      <c r="A787" s="1">
        <v>44403</v>
      </c>
      <c r="B787" t="s">
        <v>130</v>
      </c>
      <c r="C787" t="s">
        <v>133</v>
      </c>
      <c r="D787" t="s">
        <v>23</v>
      </c>
      <c r="E787" t="s">
        <v>151</v>
      </c>
      <c r="F787">
        <v>1644</v>
      </c>
      <c r="H787">
        <f t="shared" si="26"/>
        <v>7</v>
      </c>
      <c r="I787">
        <f t="shared" si="27"/>
        <v>2021</v>
      </c>
    </row>
    <row r="788" spans="1:9" x14ac:dyDescent="0.3">
      <c r="A788" s="1">
        <v>44403</v>
      </c>
      <c r="B788" t="s">
        <v>130</v>
      </c>
      <c r="C788" t="s">
        <v>204</v>
      </c>
      <c r="D788" t="s">
        <v>23</v>
      </c>
      <c r="E788" t="s">
        <v>322</v>
      </c>
      <c r="F788">
        <v>2214</v>
      </c>
      <c r="H788">
        <f t="shared" ref="H788:H845" si="28">MONTH(A788)</f>
        <v>7</v>
      </c>
      <c r="I788">
        <f t="shared" ref="I788:I845" si="29">YEAR(A788)</f>
        <v>2021</v>
      </c>
    </row>
    <row r="789" spans="1:9" x14ac:dyDescent="0.3">
      <c r="A789" s="1">
        <v>44403</v>
      </c>
      <c r="B789" t="s">
        <v>130</v>
      </c>
      <c r="C789" t="s">
        <v>148</v>
      </c>
      <c r="D789" t="s">
        <v>12</v>
      </c>
      <c r="E789" t="s">
        <v>182</v>
      </c>
      <c r="H789">
        <f t="shared" si="28"/>
        <v>7</v>
      </c>
      <c r="I789">
        <f t="shared" si="29"/>
        <v>2021</v>
      </c>
    </row>
    <row r="790" spans="1:9" x14ac:dyDescent="0.3">
      <c r="A790" s="1">
        <v>44403</v>
      </c>
      <c r="B790" t="s">
        <v>24</v>
      </c>
      <c r="G790">
        <v>-360</v>
      </c>
      <c r="H790">
        <f t="shared" si="28"/>
        <v>7</v>
      </c>
      <c r="I790">
        <f t="shared" si="29"/>
        <v>2021</v>
      </c>
    </row>
    <row r="791" spans="1:9" x14ac:dyDescent="0.3">
      <c r="A791" s="1">
        <v>44406</v>
      </c>
      <c r="B791" t="s">
        <v>3</v>
      </c>
      <c r="G791">
        <v>6600</v>
      </c>
      <c r="H791">
        <f t="shared" si="28"/>
        <v>7</v>
      </c>
      <c r="I791">
        <f t="shared" si="29"/>
        <v>2021</v>
      </c>
    </row>
    <row r="792" spans="1:9" x14ac:dyDescent="0.3">
      <c r="A792" s="1">
        <v>44406</v>
      </c>
      <c r="B792" t="s">
        <v>3</v>
      </c>
      <c r="C792" t="s">
        <v>40</v>
      </c>
      <c r="D792" t="s">
        <v>9</v>
      </c>
      <c r="E792" t="s">
        <v>104</v>
      </c>
      <c r="F792">
        <v>6600</v>
      </c>
      <c r="H792">
        <f t="shared" si="28"/>
        <v>7</v>
      </c>
      <c r="I792">
        <f t="shared" si="29"/>
        <v>2021</v>
      </c>
    </row>
    <row r="793" spans="1:9" x14ac:dyDescent="0.3">
      <c r="A793" s="1">
        <v>44408</v>
      </c>
      <c r="B793" t="s">
        <v>82</v>
      </c>
      <c r="G793">
        <v>2280</v>
      </c>
      <c r="H793">
        <f t="shared" si="28"/>
        <v>7</v>
      </c>
      <c r="I793">
        <f t="shared" si="29"/>
        <v>2021</v>
      </c>
    </row>
    <row r="794" spans="1:9" x14ac:dyDescent="0.3">
      <c r="A794" s="1">
        <v>44408</v>
      </c>
      <c r="B794" t="s">
        <v>82</v>
      </c>
      <c r="C794" t="s">
        <v>94</v>
      </c>
      <c r="D794" t="s">
        <v>323</v>
      </c>
      <c r="E794" t="s">
        <v>186</v>
      </c>
      <c r="F794">
        <v>2280</v>
      </c>
      <c r="H794">
        <f t="shared" si="28"/>
        <v>7</v>
      </c>
      <c r="I794">
        <f t="shared" si="29"/>
        <v>2021</v>
      </c>
    </row>
    <row r="795" spans="1:9" x14ac:dyDescent="0.3">
      <c r="A795" s="1">
        <v>44413</v>
      </c>
      <c r="B795" t="s">
        <v>55</v>
      </c>
      <c r="G795">
        <v>6180</v>
      </c>
      <c r="H795">
        <f t="shared" si="28"/>
        <v>8</v>
      </c>
      <c r="I795">
        <f t="shared" si="29"/>
        <v>2021</v>
      </c>
    </row>
    <row r="796" spans="1:9" x14ac:dyDescent="0.3">
      <c r="A796" s="1">
        <v>44413</v>
      </c>
      <c r="B796" t="s">
        <v>55</v>
      </c>
      <c r="C796" t="s">
        <v>38</v>
      </c>
      <c r="D796" t="s">
        <v>37</v>
      </c>
      <c r="E796" t="s">
        <v>62</v>
      </c>
      <c r="F796">
        <v>3420</v>
      </c>
      <c r="H796">
        <f t="shared" si="28"/>
        <v>8</v>
      </c>
      <c r="I796">
        <f t="shared" si="29"/>
        <v>2021</v>
      </c>
    </row>
    <row r="797" spans="1:9" x14ac:dyDescent="0.3">
      <c r="A797" s="1">
        <v>44413</v>
      </c>
      <c r="B797" t="s">
        <v>55</v>
      </c>
      <c r="C797" t="s">
        <v>324</v>
      </c>
      <c r="D797" t="s">
        <v>93</v>
      </c>
      <c r="E797" t="s">
        <v>13</v>
      </c>
      <c r="F797">
        <v>1380</v>
      </c>
      <c r="H797">
        <f t="shared" si="28"/>
        <v>8</v>
      </c>
      <c r="I797">
        <f t="shared" si="29"/>
        <v>2021</v>
      </c>
    </row>
    <row r="798" spans="1:9" x14ac:dyDescent="0.3">
      <c r="A798" s="1">
        <v>44413</v>
      </c>
      <c r="B798" t="s">
        <v>55</v>
      </c>
      <c r="C798" t="s">
        <v>325</v>
      </c>
      <c r="D798" t="s">
        <v>93</v>
      </c>
      <c r="E798" t="s">
        <v>13</v>
      </c>
      <c r="F798">
        <v>1380</v>
      </c>
      <c r="H798">
        <f t="shared" si="28"/>
        <v>8</v>
      </c>
      <c r="I798">
        <f t="shared" si="29"/>
        <v>2021</v>
      </c>
    </row>
    <row r="799" spans="1:9" x14ac:dyDescent="0.3">
      <c r="A799" s="1">
        <v>44413</v>
      </c>
      <c r="B799" t="s">
        <v>75</v>
      </c>
      <c r="G799">
        <v>9360</v>
      </c>
      <c r="H799">
        <f t="shared" si="28"/>
        <v>8</v>
      </c>
      <c r="I799">
        <f t="shared" si="29"/>
        <v>2021</v>
      </c>
    </row>
    <row r="800" spans="1:9" x14ac:dyDescent="0.3">
      <c r="A800" s="1">
        <v>44413</v>
      </c>
      <c r="B800" t="s">
        <v>75</v>
      </c>
      <c r="C800" t="s">
        <v>40</v>
      </c>
      <c r="D800" t="s">
        <v>9</v>
      </c>
      <c r="E800" t="s">
        <v>104</v>
      </c>
      <c r="F800">
        <v>6600</v>
      </c>
      <c r="H800">
        <f t="shared" si="28"/>
        <v>8</v>
      </c>
      <c r="I800">
        <f t="shared" si="29"/>
        <v>2021</v>
      </c>
    </row>
    <row r="801" spans="1:9" x14ac:dyDescent="0.3">
      <c r="A801" s="1">
        <v>44413</v>
      </c>
      <c r="B801" t="s">
        <v>75</v>
      </c>
      <c r="C801" t="s">
        <v>324</v>
      </c>
      <c r="D801" t="s">
        <v>93</v>
      </c>
      <c r="E801" t="s">
        <v>13</v>
      </c>
      <c r="F801">
        <v>1380</v>
      </c>
      <c r="H801">
        <f t="shared" si="28"/>
        <v>8</v>
      </c>
      <c r="I801">
        <f t="shared" si="29"/>
        <v>2021</v>
      </c>
    </row>
    <row r="802" spans="1:9" x14ac:dyDescent="0.3">
      <c r="A802" s="1">
        <v>44413</v>
      </c>
      <c r="B802" t="s">
        <v>75</v>
      </c>
      <c r="C802" t="s">
        <v>325</v>
      </c>
      <c r="D802" t="s">
        <v>93</v>
      </c>
      <c r="E802" t="s">
        <v>13</v>
      </c>
      <c r="F802">
        <v>1380</v>
      </c>
      <c r="H802">
        <f t="shared" si="28"/>
        <v>8</v>
      </c>
      <c r="I802">
        <f t="shared" si="29"/>
        <v>2021</v>
      </c>
    </row>
    <row r="803" spans="1:9" x14ac:dyDescent="0.3">
      <c r="A803" s="1">
        <v>44413</v>
      </c>
      <c r="B803" t="s">
        <v>248</v>
      </c>
      <c r="G803">
        <v>6960</v>
      </c>
      <c r="H803">
        <f t="shared" si="28"/>
        <v>8</v>
      </c>
      <c r="I803">
        <f t="shared" si="29"/>
        <v>2021</v>
      </c>
    </row>
    <row r="804" spans="1:9" x14ac:dyDescent="0.3">
      <c r="A804" s="1">
        <v>44413</v>
      </c>
      <c r="B804" t="s">
        <v>248</v>
      </c>
      <c r="C804" t="s">
        <v>324</v>
      </c>
      <c r="D804" t="s">
        <v>93</v>
      </c>
      <c r="E804" t="s">
        <v>13</v>
      </c>
      <c r="F804">
        <v>1380</v>
      </c>
      <c r="H804">
        <f t="shared" si="28"/>
        <v>8</v>
      </c>
      <c r="I804">
        <f t="shared" si="29"/>
        <v>2021</v>
      </c>
    </row>
    <row r="805" spans="1:9" x14ac:dyDescent="0.3">
      <c r="A805" s="1">
        <v>44413</v>
      </c>
      <c r="B805" t="s">
        <v>248</v>
      </c>
      <c r="C805" t="s">
        <v>40</v>
      </c>
      <c r="D805" t="s">
        <v>37</v>
      </c>
      <c r="E805" t="s">
        <v>104</v>
      </c>
      <c r="F805">
        <v>3300</v>
      </c>
      <c r="H805">
        <f t="shared" si="28"/>
        <v>8</v>
      </c>
      <c r="I805">
        <f t="shared" si="29"/>
        <v>2021</v>
      </c>
    </row>
    <row r="806" spans="1:9" x14ac:dyDescent="0.3">
      <c r="A806" s="1">
        <v>44413</v>
      </c>
      <c r="B806" t="s">
        <v>248</v>
      </c>
      <c r="C806" t="s">
        <v>148</v>
      </c>
      <c r="D806" t="s">
        <v>25</v>
      </c>
      <c r="E806" t="s">
        <v>177</v>
      </c>
      <c r="F806">
        <v>900</v>
      </c>
      <c r="H806">
        <f t="shared" si="28"/>
        <v>8</v>
      </c>
      <c r="I806">
        <f t="shared" si="29"/>
        <v>2021</v>
      </c>
    </row>
    <row r="807" spans="1:9" x14ac:dyDescent="0.3">
      <c r="A807" s="1">
        <v>44413</v>
      </c>
      <c r="B807" t="s">
        <v>248</v>
      </c>
      <c r="C807" t="s">
        <v>325</v>
      </c>
      <c r="D807" t="s">
        <v>93</v>
      </c>
      <c r="E807" t="s">
        <v>13</v>
      </c>
      <c r="F807">
        <v>1380</v>
      </c>
      <c r="H807">
        <f t="shared" si="28"/>
        <v>8</v>
      </c>
      <c r="I807">
        <f t="shared" si="29"/>
        <v>2021</v>
      </c>
    </row>
    <row r="808" spans="1:9" x14ac:dyDescent="0.3">
      <c r="A808" s="1">
        <v>44413</v>
      </c>
      <c r="B808" t="s">
        <v>32</v>
      </c>
      <c r="G808">
        <v>2847</v>
      </c>
      <c r="H808">
        <f t="shared" si="28"/>
        <v>8</v>
      </c>
      <c r="I808">
        <f t="shared" si="29"/>
        <v>2021</v>
      </c>
    </row>
    <row r="809" spans="1:9" x14ac:dyDescent="0.3">
      <c r="A809" s="1">
        <v>44413</v>
      </c>
      <c r="B809" t="s">
        <v>32</v>
      </c>
      <c r="C809" t="s">
        <v>22</v>
      </c>
      <c r="D809" t="s">
        <v>18</v>
      </c>
      <c r="E809" t="s">
        <v>309</v>
      </c>
      <c r="F809">
        <v>1670</v>
      </c>
      <c r="H809">
        <f t="shared" si="28"/>
        <v>8</v>
      </c>
      <c r="I809">
        <f t="shared" si="29"/>
        <v>2021</v>
      </c>
    </row>
    <row r="810" spans="1:9" x14ac:dyDescent="0.3">
      <c r="A810" s="1">
        <v>44413</v>
      </c>
      <c r="B810" t="s">
        <v>32</v>
      </c>
      <c r="C810" t="s">
        <v>173</v>
      </c>
      <c r="D810" t="s">
        <v>37</v>
      </c>
      <c r="E810" t="s">
        <v>326</v>
      </c>
      <c r="F810">
        <v>1177</v>
      </c>
      <c r="H810">
        <f t="shared" si="28"/>
        <v>8</v>
      </c>
      <c r="I810">
        <f t="shared" si="29"/>
        <v>2021</v>
      </c>
    </row>
    <row r="811" spans="1:9" x14ac:dyDescent="0.3">
      <c r="A811" s="1">
        <v>44413</v>
      </c>
      <c r="B811" t="s">
        <v>3</v>
      </c>
      <c r="G811">
        <v>7860</v>
      </c>
      <c r="H811">
        <f t="shared" si="28"/>
        <v>8</v>
      </c>
      <c r="I811">
        <f t="shared" si="29"/>
        <v>2021</v>
      </c>
    </row>
    <row r="812" spans="1:9" x14ac:dyDescent="0.3">
      <c r="A812" s="1">
        <v>44413</v>
      </c>
      <c r="B812" t="s">
        <v>3</v>
      </c>
      <c r="C812" t="s">
        <v>33</v>
      </c>
      <c r="D812" t="s">
        <v>25</v>
      </c>
      <c r="E812" t="s">
        <v>327</v>
      </c>
      <c r="F812">
        <v>2732</v>
      </c>
      <c r="H812">
        <f t="shared" si="28"/>
        <v>8</v>
      </c>
      <c r="I812">
        <f t="shared" si="29"/>
        <v>2021</v>
      </c>
    </row>
    <row r="813" spans="1:9" x14ac:dyDescent="0.3">
      <c r="A813" s="1">
        <v>44413</v>
      </c>
      <c r="B813" t="s">
        <v>3</v>
      </c>
      <c r="C813" t="s">
        <v>22</v>
      </c>
      <c r="D813" t="s">
        <v>37</v>
      </c>
      <c r="E813" t="s">
        <v>328</v>
      </c>
      <c r="F813">
        <v>2783</v>
      </c>
      <c r="H813">
        <f t="shared" si="28"/>
        <v>8</v>
      </c>
      <c r="I813">
        <f t="shared" si="29"/>
        <v>2021</v>
      </c>
    </row>
    <row r="814" spans="1:9" x14ac:dyDescent="0.3">
      <c r="A814" s="1">
        <v>44413</v>
      </c>
      <c r="B814" t="s">
        <v>3</v>
      </c>
      <c r="C814" t="s">
        <v>173</v>
      </c>
      <c r="D814" t="s">
        <v>9</v>
      </c>
      <c r="E814" t="s">
        <v>326</v>
      </c>
      <c r="F814">
        <v>2354</v>
      </c>
      <c r="H814">
        <f t="shared" si="28"/>
        <v>8</v>
      </c>
      <c r="I814">
        <f t="shared" si="29"/>
        <v>2021</v>
      </c>
    </row>
    <row r="815" spans="1:9" x14ac:dyDescent="0.3">
      <c r="A815" s="1">
        <v>44413</v>
      </c>
      <c r="B815" t="s">
        <v>24</v>
      </c>
      <c r="G815">
        <v>-9</v>
      </c>
      <c r="H815">
        <f t="shared" si="28"/>
        <v>8</v>
      </c>
      <c r="I815">
        <f t="shared" si="29"/>
        <v>2021</v>
      </c>
    </row>
    <row r="816" spans="1:9" x14ac:dyDescent="0.3">
      <c r="A816" s="1">
        <v>44414</v>
      </c>
      <c r="B816" t="s">
        <v>141</v>
      </c>
      <c r="G816">
        <v>9093</v>
      </c>
      <c r="H816">
        <f t="shared" si="28"/>
        <v>8</v>
      </c>
      <c r="I816">
        <f t="shared" si="29"/>
        <v>2021</v>
      </c>
    </row>
    <row r="817" spans="1:9" x14ac:dyDescent="0.3">
      <c r="A817" s="1">
        <v>44414</v>
      </c>
      <c r="B817" t="s">
        <v>141</v>
      </c>
      <c r="C817" t="s">
        <v>98</v>
      </c>
      <c r="D817" t="s">
        <v>25</v>
      </c>
      <c r="E817" t="s">
        <v>99</v>
      </c>
      <c r="F817">
        <v>2700</v>
      </c>
      <c r="H817">
        <f t="shared" si="28"/>
        <v>8</v>
      </c>
      <c r="I817">
        <f t="shared" si="29"/>
        <v>2021</v>
      </c>
    </row>
    <row r="818" spans="1:9" x14ac:dyDescent="0.3">
      <c r="A818" s="1">
        <v>44414</v>
      </c>
      <c r="B818" t="s">
        <v>141</v>
      </c>
      <c r="C818" t="s">
        <v>136</v>
      </c>
      <c r="D818" t="s">
        <v>5</v>
      </c>
      <c r="E818" t="s">
        <v>229</v>
      </c>
      <c r="F818">
        <v>645</v>
      </c>
      <c r="H818">
        <f t="shared" si="28"/>
        <v>8</v>
      </c>
      <c r="I818">
        <f t="shared" si="29"/>
        <v>2021</v>
      </c>
    </row>
    <row r="819" spans="1:9" x14ac:dyDescent="0.3">
      <c r="A819" s="1">
        <v>44414</v>
      </c>
      <c r="B819" t="s">
        <v>141</v>
      </c>
      <c r="C819" t="s">
        <v>38</v>
      </c>
      <c r="D819" t="s">
        <v>23</v>
      </c>
      <c r="E819" t="s">
        <v>100</v>
      </c>
      <c r="F819">
        <v>1050</v>
      </c>
      <c r="H819">
        <f t="shared" si="28"/>
        <v>8</v>
      </c>
      <c r="I819">
        <f t="shared" si="29"/>
        <v>2021</v>
      </c>
    </row>
    <row r="820" spans="1:9" x14ac:dyDescent="0.3">
      <c r="A820" s="1">
        <v>44414</v>
      </c>
      <c r="B820" t="s">
        <v>141</v>
      </c>
      <c r="C820" t="s">
        <v>198</v>
      </c>
      <c r="D820" t="s">
        <v>23</v>
      </c>
      <c r="E820" t="s">
        <v>166</v>
      </c>
      <c r="F820">
        <v>648</v>
      </c>
      <c r="H820">
        <f t="shared" si="28"/>
        <v>8</v>
      </c>
      <c r="I820">
        <f t="shared" si="29"/>
        <v>2021</v>
      </c>
    </row>
    <row r="821" spans="1:9" x14ac:dyDescent="0.3">
      <c r="A821" s="1">
        <v>44414</v>
      </c>
      <c r="B821" t="s">
        <v>141</v>
      </c>
      <c r="C821" t="s">
        <v>40</v>
      </c>
      <c r="D821" t="s">
        <v>37</v>
      </c>
      <c r="E821" t="s">
        <v>117</v>
      </c>
      <c r="F821">
        <v>3350</v>
      </c>
      <c r="H821">
        <f t="shared" si="28"/>
        <v>8</v>
      </c>
      <c r="I821">
        <f t="shared" si="29"/>
        <v>2021</v>
      </c>
    </row>
    <row r="822" spans="1:9" x14ac:dyDescent="0.3">
      <c r="A822" s="1">
        <v>44414</v>
      </c>
      <c r="B822" t="s">
        <v>141</v>
      </c>
      <c r="C822" t="s">
        <v>324</v>
      </c>
      <c r="D822" t="s">
        <v>5</v>
      </c>
      <c r="E822" t="s">
        <v>100</v>
      </c>
      <c r="F822">
        <v>350</v>
      </c>
      <c r="H822">
        <f t="shared" si="28"/>
        <v>8</v>
      </c>
      <c r="I822">
        <f t="shared" si="29"/>
        <v>2021</v>
      </c>
    </row>
    <row r="823" spans="1:9" x14ac:dyDescent="0.3">
      <c r="A823" s="1">
        <v>44414</v>
      </c>
      <c r="B823" t="s">
        <v>141</v>
      </c>
      <c r="C823" t="s">
        <v>325</v>
      </c>
      <c r="D823" t="s">
        <v>5</v>
      </c>
      <c r="E823" t="s">
        <v>100</v>
      </c>
      <c r="F823">
        <v>350</v>
      </c>
      <c r="H823">
        <f t="shared" si="28"/>
        <v>8</v>
      </c>
      <c r="I823">
        <f t="shared" si="29"/>
        <v>2021</v>
      </c>
    </row>
    <row r="824" spans="1:9" x14ac:dyDescent="0.3">
      <c r="A824" s="1">
        <v>44414</v>
      </c>
      <c r="B824" t="s">
        <v>308</v>
      </c>
      <c r="G824">
        <v>5200</v>
      </c>
      <c r="H824">
        <f t="shared" si="28"/>
        <v>8</v>
      </c>
      <c r="I824">
        <f t="shared" si="29"/>
        <v>2021</v>
      </c>
    </row>
    <row r="825" spans="1:9" x14ac:dyDescent="0.3">
      <c r="A825" s="1">
        <v>44414</v>
      </c>
      <c r="B825" t="s">
        <v>308</v>
      </c>
      <c r="C825" t="s">
        <v>114</v>
      </c>
      <c r="D825" t="s">
        <v>5</v>
      </c>
      <c r="E825" t="s">
        <v>229</v>
      </c>
      <c r="F825">
        <v>645</v>
      </c>
      <c r="H825">
        <f t="shared" si="28"/>
        <v>8</v>
      </c>
      <c r="I825">
        <f t="shared" si="29"/>
        <v>2021</v>
      </c>
    </row>
    <row r="826" spans="1:9" x14ac:dyDescent="0.3">
      <c r="A826" s="1">
        <v>44414</v>
      </c>
      <c r="B826" t="s">
        <v>308</v>
      </c>
      <c r="C826" t="s">
        <v>116</v>
      </c>
      <c r="D826" t="s">
        <v>5</v>
      </c>
      <c r="E826" t="s">
        <v>229</v>
      </c>
      <c r="F826">
        <v>645</v>
      </c>
      <c r="H826">
        <f t="shared" si="28"/>
        <v>8</v>
      </c>
      <c r="I826">
        <f t="shared" si="29"/>
        <v>2021</v>
      </c>
    </row>
    <row r="827" spans="1:9" x14ac:dyDescent="0.3">
      <c r="A827" s="1">
        <v>44414</v>
      </c>
      <c r="B827" t="s">
        <v>308</v>
      </c>
      <c r="C827" t="s">
        <v>324</v>
      </c>
      <c r="D827" t="s">
        <v>5</v>
      </c>
      <c r="E827" t="s">
        <v>100</v>
      </c>
      <c r="F827">
        <v>350</v>
      </c>
      <c r="H827">
        <f t="shared" si="28"/>
        <v>8</v>
      </c>
      <c r="I827">
        <f t="shared" si="29"/>
        <v>2021</v>
      </c>
    </row>
    <row r="828" spans="1:9" x14ac:dyDescent="0.3">
      <c r="A828" s="1">
        <v>44414</v>
      </c>
      <c r="B828" t="s">
        <v>308</v>
      </c>
      <c r="C828" t="s">
        <v>325</v>
      </c>
      <c r="D828" t="s">
        <v>5</v>
      </c>
      <c r="E828" t="s">
        <v>100</v>
      </c>
      <c r="F828">
        <v>350</v>
      </c>
      <c r="H828">
        <f t="shared" si="28"/>
        <v>8</v>
      </c>
      <c r="I828">
        <f t="shared" si="29"/>
        <v>2021</v>
      </c>
    </row>
    <row r="829" spans="1:9" x14ac:dyDescent="0.3">
      <c r="A829" s="1">
        <v>44414</v>
      </c>
      <c r="B829" t="s">
        <v>308</v>
      </c>
      <c r="C829" t="s">
        <v>38</v>
      </c>
      <c r="D829" t="s">
        <v>12</v>
      </c>
      <c r="E829" t="s">
        <v>100</v>
      </c>
      <c r="F829">
        <v>700</v>
      </c>
      <c r="H829">
        <f t="shared" si="28"/>
        <v>8</v>
      </c>
      <c r="I829">
        <f t="shared" si="29"/>
        <v>2021</v>
      </c>
    </row>
    <row r="830" spans="1:9" x14ac:dyDescent="0.3">
      <c r="A830" s="1">
        <v>44414</v>
      </c>
      <c r="B830" t="s">
        <v>308</v>
      </c>
      <c r="C830" t="s">
        <v>40</v>
      </c>
      <c r="D830" t="s">
        <v>12</v>
      </c>
      <c r="E830" t="s">
        <v>117</v>
      </c>
      <c r="F830">
        <v>670</v>
      </c>
      <c r="H830">
        <f t="shared" si="28"/>
        <v>8</v>
      </c>
      <c r="I830">
        <f t="shared" si="29"/>
        <v>2021</v>
      </c>
    </row>
    <row r="831" spans="1:9" x14ac:dyDescent="0.3">
      <c r="A831" s="1">
        <v>44414</v>
      </c>
      <c r="B831" t="s">
        <v>308</v>
      </c>
      <c r="C831" t="s">
        <v>98</v>
      </c>
      <c r="D831" t="s">
        <v>12</v>
      </c>
      <c r="E831" t="s">
        <v>99</v>
      </c>
      <c r="F831">
        <v>1080</v>
      </c>
      <c r="H831">
        <f t="shared" si="28"/>
        <v>8</v>
      </c>
      <c r="I831">
        <f t="shared" si="29"/>
        <v>2021</v>
      </c>
    </row>
    <row r="832" spans="1:9" x14ac:dyDescent="0.3">
      <c r="A832" s="1">
        <v>44414</v>
      </c>
      <c r="B832" t="s">
        <v>308</v>
      </c>
      <c r="C832" t="s">
        <v>293</v>
      </c>
      <c r="D832" t="s">
        <v>5</v>
      </c>
      <c r="E832" t="s">
        <v>258</v>
      </c>
      <c r="F832">
        <v>220</v>
      </c>
      <c r="H832">
        <f t="shared" si="28"/>
        <v>8</v>
      </c>
      <c r="I832">
        <f t="shared" si="29"/>
        <v>2021</v>
      </c>
    </row>
    <row r="833" spans="1:9" x14ac:dyDescent="0.3">
      <c r="A833" s="1">
        <v>44414</v>
      </c>
      <c r="B833" t="s">
        <v>308</v>
      </c>
      <c r="C833" t="s">
        <v>134</v>
      </c>
      <c r="D833" t="s">
        <v>5</v>
      </c>
      <c r="E833" t="s">
        <v>99</v>
      </c>
      <c r="F833">
        <v>540</v>
      </c>
      <c r="H833">
        <f t="shared" si="28"/>
        <v>8</v>
      </c>
      <c r="I833">
        <f t="shared" si="29"/>
        <v>2021</v>
      </c>
    </row>
    <row r="834" spans="1:9" x14ac:dyDescent="0.3">
      <c r="A834" s="1">
        <v>44414</v>
      </c>
      <c r="B834" t="s">
        <v>308</v>
      </c>
      <c r="G834">
        <v>3660</v>
      </c>
      <c r="H834">
        <f t="shared" si="28"/>
        <v>8</v>
      </c>
      <c r="I834">
        <f t="shared" si="29"/>
        <v>2021</v>
      </c>
    </row>
    <row r="835" spans="1:9" x14ac:dyDescent="0.3">
      <c r="A835" s="1">
        <v>44414</v>
      </c>
      <c r="B835" t="s">
        <v>308</v>
      </c>
      <c r="C835" t="s">
        <v>133</v>
      </c>
      <c r="D835" t="s">
        <v>12</v>
      </c>
      <c r="E835" t="s">
        <v>99</v>
      </c>
      <c r="F835">
        <v>1080</v>
      </c>
      <c r="H835">
        <f t="shared" si="28"/>
        <v>8</v>
      </c>
      <c r="I835">
        <f t="shared" si="29"/>
        <v>2021</v>
      </c>
    </row>
    <row r="836" spans="1:9" x14ac:dyDescent="0.3">
      <c r="A836" s="1">
        <v>44414</v>
      </c>
      <c r="B836" t="s">
        <v>308</v>
      </c>
      <c r="C836" t="s">
        <v>136</v>
      </c>
      <c r="D836" t="s">
        <v>12</v>
      </c>
      <c r="E836" t="s">
        <v>229</v>
      </c>
      <c r="F836">
        <v>1290</v>
      </c>
      <c r="H836">
        <f t="shared" si="28"/>
        <v>8</v>
      </c>
      <c r="I836">
        <f t="shared" si="29"/>
        <v>2021</v>
      </c>
    </row>
    <row r="837" spans="1:9" x14ac:dyDescent="0.3">
      <c r="A837" s="1">
        <v>44414</v>
      </c>
      <c r="B837" t="s">
        <v>308</v>
      </c>
      <c r="C837" t="s">
        <v>112</v>
      </c>
      <c r="D837" t="s">
        <v>12</v>
      </c>
      <c r="E837" t="s">
        <v>229</v>
      </c>
      <c r="F837">
        <v>1290</v>
      </c>
      <c r="H837">
        <f t="shared" si="28"/>
        <v>8</v>
      </c>
      <c r="I837">
        <f t="shared" si="29"/>
        <v>2021</v>
      </c>
    </row>
    <row r="838" spans="1:9" x14ac:dyDescent="0.3">
      <c r="A838" s="1">
        <v>44414</v>
      </c>
      <c r="B838" t="s">
        <v>97</v>
      </c>
      <c r="G838">
        <v>5767</v>
      </c>
      <c r="H838">
        <f t="shared" si="28"/>
        <v>8</v>
      </c>
      <c r="I838">
        <f t="shared" si="29"/>
        <v>2021</v>
      </c>
    </row>
    <row r="839" spans="1:9" x14ac:dyDescent="0.3">
      <c r="A839" s="1">
        <v>44414</v>
      </c>
      <c r="B839" t="s">
        <v>97</v>
      </c>
      <c r="C839" t="s">
        <v>40</v>
      </c>
      <c r="D839" t="s">
        <v>25</v>
      </c>
      <c r="E839" t="s">
        <v>117</v>
      </c>
      <c r="F839">
        <v>1675</v>
      </c>
      <c r="H839">
        <f t="shared" si="28"/>
        <v>8</v>
      </c>
      <c r="I839">
        <f t="shared" si="29"/>
        <v>2021</v>
      </c>
    </row>
    <row r="840" spans="1:9" x14ac:dyDescent="0.3">
      <c r="A840" s="1">
        <v>44414</v>
      </c>
      <c r="B840" t="s">
        <v>97</v>
      </c>
      <c r="C840" t="s">
        <v>171</v>
      </c>
      <c r="D840" t="s">
        <v>5</v>
      </c>
      <c r="E840" t="s">
        <v>120</v>
      </c>
      <c r="F840">
        <v>680</v>
      </c>
      <c r="H840">
        <f t="shared" si="28"/>
        <v>8</v>
      </c>
      <c r="I840">
        <f t="shared" si="29"/>
        <v>2021</v>
      </c>
    </row>
    <row r="841" spans="1:9" x14ac:dyDescent="0.3">
      <c r="A841" s="1">
        <v>44414</v>
      </c>
      <c r="B841" t="s">
        <v>97</v>
      </c>
      <c r="C841" t="s">
        <v>324</v>
      </c>
      <c r="D841" t="s">
        <v>5</v>
      </c>
      <c r="E841" t="s">
        <v>100</v>
      </c>
      <c r="F841">
        <v>350</v>
      </c>
      <c r="H841">
        <f t="shared" si="28"/>
        <v>8</v>
      </c>
      <c r="I841">
        <f t="shared" si="29"/>
        <v>2021</v>
      </c>
    </row>
    <row r="842" spans="1:9" x14ac:dyDescent="0.3">
      <c r="A842" s="1">
        <v>44414</v>
      </c>
      <c r="B842" t="s">
        <v>97</v>
      </c>
      <c r="C842" t="s">
        <v>235</v>
      </c>
      <c r="D842" t="s">
        <v>23</v>
      </c>
      <c r="E842" t="s">
        <v>105</v>
      </c>
      <c r="F842">
        <v>750</v>
      </c>
      <c r="H842">
        <f t="shared" si="28"/>
        <v>8</v>
      </c>
      <c r="I842">
        <f t="shared" si="29"/>
        <v>2021</v>
      </c>
    </row>
    <row r="843" spans="1:9" x14ac:dyDescent="0.3">
      <c r="A843" s="1">
        <v>44414</v>
      </c>
      <c r="B843" t="s">
        <v>97</v>
      </c>
      <c r="C843" t="s">
        <v>165</v>
      </c>
      <c r="D843" t="s">
        <v>30</v>
      </c>
      <c r="E843" t="s">
        <v>166</v>
      </c>
      <c r="F843">
        <v>1512</v>
      </c>
      <c r="H843">
        <f t="shared" si="28"/>
        <v>8</v>
      </c>
      <c r="I843">
        <f t="shared" si="29"/>
        <v>2021</v>
      </c>
    </row>
    <row r="844" spans="1:9" x14ac:dyDescent="0.3">
      <c r="A844" s="1">
        <v>44414</v>
      </c>
      <c r="B844" t="s">
        <v>97</v>
      </c>
      <c r="C844" t="s">
        <v>44</v>
      </c>
      <c r="D844" t="s">
        <v>12</v>
      </c>
      <c r="E844" t="s">
        <v>103</v>
      </c>
      <c r="F844">
        <v>800</v>
      </c>
      <c r="H844">
        <f t="shared" si="28"/>
        <v>8</v>
      </c>
      <c r="I844">
        <f t="shared" si="29"/>
        <v>2021</v>
      </c>
    </row>
    <row r="845" spans="1:9" x14ac:dyDescent="0.3">
      <c r="A845" s="1">
        <v>44416</v>
      </c>
      <c r="B845" t="s">
        <v>8</v>
      </c>
      <c r="G845">
        <v>3300</v>
      </c>
      <c r="H845">
        <f t="shared" si="28"/>
        <v>8</v>
      </c>
      <c r="I845">
        <f t="shared" si="29"/>
        <v>2021</v>
      </c>
    </row>
    <row r="846" spans="1:9" x14ac:dyDescent="0.3">
      <c r="A846" s="1">
        <v>44416</v>
      </c>
      <c r="B846" t="s">
        <v>8</v>
      </c>
      <c r="C846" t="s">
        <v>40</v>
      </c>
      <c r="D846" t="s">
        <v>37</v>
      </c>
      <c r="E846" t="s">
        <v>104</v>
      </c>
      <c r="F846">
        <v>3300</v>
      </c>
      <c r="H846">
        <f t="shared" ref="H846:H902" si="30">MONTH(A846)</f>
        <v>8</v>
      </c>
      <c r="I846">
        <f t="shared" ref="I846:I902" si="31">YEAR(A846)</f>
        <v>2021</v>
      </c>
    </row>
    <row r="847" spans="1:9" x14ac:dyDescent="0.3">
      <c r="A847" s="1">
        <v>44417</v>
      </c>
      <c r="B847" t="s">
        <v>3</v>
      </c>
      <c r="G847">
        <v>4450</v>
      </c>
      <c r="H847">
        <f t="shared" si="30"/>
        <v>8</v>
      </c>
      <c r="I847">
        <f t="shared" si="31"/>
        <v>2021</v>
      </c>
    </row>
    <row r="848" spans="1:9" x14ac:dyDescent="0.3">
      <c r="A848" s="1">
        <v>44417</v>
      </c>
      <c r="B848" t="s">
        <v>3</v>
      </c>
      <c r="C848" t="s">
        <v>40</v>
      </c>
      <c r="D848" t="s">
        <v>23</v>
      </c>
      <c r="E848" t="s">
        <v>185</v>
      </c>
      <c r="F848">
        <v>1000</v>
      </c>
      <c r="H848">
        <f t="shared" si="30"/>
        <v>8</v>
      </c>
      <c r="I848">
        <f t="shared" si="31"/>
        <v>2021</v>
      </c>
    </row>
    <row r="849" spans="1:9" x14ac:dyDescent="0.3">
      <c r="A849" s="1">
        <v>44417</v>
      </c>
      <c r="B849" t="s">
        <v>3</v>
      </c>
      <c r="C849" t="s">
        <v>98</v>
      </c>
      <c r="D849" t="s">
        <v>5</v>
      </c>
      <c r="E849" t="s">
        <v>99</v>
      </c>
      <c r="F849">
        <v>540</v>
      </c>
      <c r="H849">
        <f t="shared" si="30"/>
        <v>8</v>
      </c>
      <c r="I849">
        <f t="shared" si="31"/>
        <v>2021</v>
      </c>
    </row>
    <row r="850" spans="1:9" x14ac:dyDescent="0.3">
      <c r="A850" s="1">
        <v>44417</v>
      </c>
      <c r="B850" t="s">
        <v>3</v>
      </c>
      <c r="C850" t="s">
        <v>94</v>
      </c>
      <c r="D850" t="s">
        <v>137</v>
      </c>
      <c r="E850" t="s">
        <v>186</v>
      </c>
      <c r="F850">
        <v>380</v>
      </c>
      <c r="H850">
        <f t="shared" si="30"/>
        <v>8</v>
      </c>
      <c r="I850">
        <f t="shared" si="31"/>
        <v>2021</v>
      </c>
    </row>
    <row r="851" spans="1:9" x14ac:dyDescent="0.3">
      <c r="A851" s="1">
        <v>44417</v>
      </c>
      <c r="B851" t="s">
        <v>3</v>
      </c>
      <c r="C851" t="s">
        <v>40</v>
      </c>
      <c r="D851" t="s">
        <v>5</v>
      </c>
      <c r="E851" t="s">
        <v>118</v>
      </c>
      <c r="F851">
        <v>340</v>
      </c>
      <c r="H851">
        <f t="shared" si="30"/>
        <v>8</v>
      </c>
      <c r="I851">
        <f t="shared" si="31"/>
        <v>2021</v>
      </c>
    </row>
    <row r="852" spans="1:9" x14ac:dyDescent="0.3">
      <c r="A852" s="1">
        <v>44417</v>
      </c>
      <c r="B852" t="s">
        <v>3</v>
      </c>
      <c r="C852" t="s">
        <v>98</v>
      </c>
      <c r="D852" t="s">
        <v>5</v>
      </c>
      <c r="E852" t="s">
        <v>26</v>
      </c>
      <c r="F852">
        <v>530</v>
      </c>
      <c r="H852">
        <f t="shared" si="30"/>
        <v>8</v>
      </c>
      <c r="I852">
        <f t="shared" si="31"/>
        <v>2021</v>
      </c>
    </row>
    <row r="853" spans="1:9" x14ac:dyDescent="0.3">
      <c r="A853" s="1">
        <v>44417</v>
      </c>
      <c r="B853" t="s">
        <v>298</v>
      </c>
      <c r="H853">
        <f t="shared" si="30"/>
        <v>8</v>
      </c>
      <c r="I853">
        <f t="shared" si="31"/>
        <v>2021</v>
      </c>
    </row>
    <row r="854" spans="1:9" x14ac:dyDescent="0.3">
      <c r="A854" s="1">
        <v>44417</v>
      </c>
      <c r="B854" t="s">
        <v>298</v>
      </c>
      <c r="H854">
        <f t="shared" si="30"/>
        <v>8</v>
      </c>
      <c r="I854">
        <f t="shared" si="31"/>
        <v>2021</v>
      </c>
    </row>
    <row r="855" spans="1:9" x14ac:dyDescent="0.3">
      <c r="A855" s="1">
        <v>44420</v>
      </c>
      <c r="B855" t="s">
        <v>234</v>
      </c>
      <c r="G855">
        <v>42565</v>
      </c>
      <c r="H855">
        <f t="shared" si="30"/>
        <v>8</v>
      </c>
      <c r="I855">
        <f t="shared" si="31"/>
        <v>2021</v>
      </c>
    </row>
    <row r="856" spans="1:9" x14ac:dyDescent="0.3">
      <c r="A856" s="1">
        <v>44420</v>
      </c>
      <c r="B856" t="s">
        <v>234</v>
      </c>
      <c r="C856" t="s">
        <v>171</v>
      </c>
      <c r="D856" t="s">
        <v>12</v>
      </c>
      <c r="E856" t="s">
        <v>115</v>
      </c>
      <c r="F856">
        <v>1300</v>
      </c>
      <c r="H856">
        <f t="shared" si="30"/>
        <v>8</v>
      </c>
      <c r="I856">
        <f t="shared" si="31"/>
        <v>2021</v>
      </c>
    </row>
    <row r="857" spans="1:9" x14ac:dyDescent="0.3">
      <c r="A857" s="1">
        <v>44420</v>
      </c>
      <c r="B857" t="s">
        <v>234</v>
      </c>
      <c r="C857" t="s">
        <v>94</v>
      </c>
      <c r="D857" t="s">
        <v>95</v>
      </c>
      <c r="E857" t="s">
        <v>186</v>
      </c>
      <c r="F857">
        <v>15200</v>
      </c>
      <c r="H857">
        <f t="shared" si="30"/>
        <v>8</v>
      </c>
      <c r="I857">
        <f t="shared" si="31"/>
        <v>2021</v>
      </c>
    </row>
    <row r="858" spans="1:9" x14ac:dyDescent="0.3">
      <c r="A858" s="1">
        <v>44420</v>
      </c>
      <c r="B858" t="s">
        <v>234</v>
      </c>
      <c r="C858" t="s">
        <v>40</v>
      </c>
      <c r="D858" t="s">
        <v>37</v>
      </c>
      <c r="E858" t="s">
        <v>104</v>
      </c>
      <c r="F858">
        <v>3300</v>
      </c>
      <c r="H858">
        <f t="shared" si="30"/>
        <v>8</v>
      </c>
      <c r="I858">
        <f t="shared" si="31"/>
        <v>2021</v>
      </c>
    </row>
    <row r="859" spans="1:9" x14ac:dyDescent="0.3">
      <c r="A859" s="1">
        <v>44420</v>
      </c>
      <c r="B859" t="s">
        <v>234</v>
      </c>
      <c r="C859" t="s">
        <v>98</v>
      </c>
      <c r="D859" t="s">
        <v>30</v>
      </c>
      <c r="E859" t="s">
        <v>6</v>
      </c>
      <c r="F859">
        <v>3675</v>
      </c>
      <c r="H859">
        <f t="shared" si="30"/>
        <v>8</v>
      </c>
      <c r="I859">
        <f t="shared" si="31"/>
        <v>2021</v>
      </c>
    </row>
    <row r="860" spans="1:9" x14ac:dyDescent="0.3">
      <c r="A860" s="1">
        <v>44420</v>
      </c>
      <c r="B860" t="s">
        <v>234</v>
      </c>
      <c r="C860" t="s">
        <v>324</v>
      </c>
      <c r="D860" t="s">
        <v>59</v>
      </c>
      <c r="E860" t="s">
        <v>13</v>
      </c>
      <c r="F860">
        <v>2760</v>
      </c>
      <c r="H860">
        <f t="shared" si="30"/>
        <v>8</v>
      </c>
      <c r="I860">
        <f t="shared" si="31"/>
        <v>2021</v>
      </c>
    </row>
    <row r="861" spans="1:9" x14ac:dyDescent="0.3">
      <c r="A861" s="1">
        <v>44420</v>
      </c>
      <c r="B861" t="s">
        <v>234</v>
      </c>
      <c r="C861" t="s">
        <v>325</v>
      </c>
      <c r="D861" t="s">
        <v>59</v>
      </c>
      <c r="E861" t="s">
        <v>13</v>
      </c>
      <c r="F861">
        <v>2760</v>
      </c>
      <c r="H861">
        <f t="shared" si="30"/>
        <v>8</v>
      </c>
      <c r="I861">
        <f t="shared" si="31"/>
        <v>2021</v>
      </c>
    </row>
    <row r="862" spans="1:9" x14ac:dyDescent="0.3">
      <c r="A862" s="1">
        <v>44420</v>
      </c>
      <c r="B862" t="s">
        <v>234</v>
      </c>
      <c r="C862" t="s">
        <v>108</v>
      </c>
      <c r="D862" t="s">
        <v>18</v>
      </c>
      <c r="E862" t="s">
        <v>14</v>
      </c>
      <c r="F862">
        <v>3210</v>
      </c>
      <c r="H862">
        <f t="shared" si="30"/>
        <v>8</v>
      </c>
      <c r="I862">
        <f t="shared" si="31"/>
        <v>2021</v>
      </c>
    </row>
    <row r="863" spans="1:9" x14ac:dyDescent="0.3">
      <c r="A863" s="1">
        <v>44420</v>
      </c>
      <c r="B863" t="s">
        <v>234</v>
      </c>
      <c r="C863" t="s">
        <v>134</v>
      </c>
      <c r="D863" t="s">
        <v>5</v>
      </c>
      <c r="E863" t="s">
        <v>14</v>
      </c>
      <c r="F863">
        <v>535</v>
      </c>
      <c r="H863">
        <f t="shared" si="30"/>
        <v>8</v>
      </c>
      <c r="I863">
        <f t="shared" si="31"/>
        <v>2021</v>
      </c>
    </row>
    <row r="864" spans="1:9" x14ac:dyDescent="0.3">
      <c r="A864" s="1">
        <v>44420</v>
      </c>
      <c r="B864" t="s">
        <v>234</v>
      </c>
      <c r="C864" t="s">
        <v>293</v>
      </c>
      <c r="D864" t="s">
        <v>37</v>
      </c>
      <c r="E864" t="s">
        <v>214</v>
      </c>
      <c r="F864">
        <v>2150</v>
      </c>
      <c r="H864">
        <f t="shared" si="30"/>
        <v>8</v>
      </c>
      <c r="I864">
        <f t="shared" si="31"/>
        <v>2021</v>
      </c>
    </row>
    <row r="865" spans="1:9" x14ac:dyDescent="0.3">
      <c r="A865" s="1">
        <v>44420</v>
      </c>
      <c r="B865" t="s">
        <v>234</v>
      </c>
      <c r="C865" t="s">
        <v>293</v>
      </c>
      <c r="D865" t="s">
        <v>61</v>
      </c>
      <c r="E865" t="s">
        <v>214</v>
      </c>
      <c r="F865">
        <v>3225</v>
      </c>
      <c r="H865">
        <f t="shared" si="30"/>
        <v>8</v>
      </c>
      <c r="I865">
        <f t="shared" si="31"/>
        <v>2021</v>
      </c>
    </row>
    <row r="866" spans="1:9" x14ac:dyDescent="0.3">
      <c r="A866" s="1">
        <v>44420</v>
      </c>
      <c r="B866" t="s">
        <v>234</v>
      </c>
      <c r="C866" t="s">
        <v>142</v>
      </c>
      <c r="D866" t="s">
        <v>12</v>
      </c>
      <c r="E866" t="s">
        <v>156</v>
      </c>
      <c r="F866">
        <v>1000</v>
      </c>
      <c r="H866">
        <f t="shared" si="30"/>
        <v>8</v>
      </c>
      <c r="I866">
        <f t="shared" si="31"/>
        <v>2021</v>
      </c>
    </row>
    <row r="867" spans="1:9" x14ac:dyDescent="0.3">
      <c r="A867" s="1">
        <v>44420</v>
      </c>
      <c r="B867" t="s">
        <v>234</v>
      </c>
      <c r="C867" t="s">
        <v>125</v>
      </c>
      <c r="D867" t="s">
        <v>23</v>
      </c>
      <c r="E867" t="s">
        <v>115</v>
      </c>
      <c r="F867">
        <v>1950</v>
      </c>
      <c r="H867">
        <f t="shared" si="30"/>
        <v>8</v>
      </c>
      <c r="I867">
        <f t="shared" si="31"/>
        <v>2021</v>
      </c>
    </row>
    <row r="868" spans="1:9" x14ac:dyDescent="0.3">
      <c r="A868" s="1">
        <v>44420</v>
      </c>
      <c r="B868" t="s">
        <v>234</v>
      </c>
      <c r="C868" t="s">
        <v>225</v>
      </c>
      <c r="D868" t="s">
        <v>25</v>
      </c>
      <c r="E868" t="s">
        <v>119</v>
      </c>
      <c r="F868">
        <v>1500</v>
      </c>
      <c r="H868">
        <f t="shared" si="30"/>
        <v>8</v>
      </c>
      <c r="I868">
        <f t="shared" si="31"/>
        <v>2021</v>
      </c>
    </row>
    <row r="869" spans="1:9" x14ac:dyDescent="0.3">
      <c r="A869" s="1">
        <v>44420</v>
      </c>
      <c r="B869" t="s">
        <v>8</v>
      </c>
      <c r="G869">
        <v>5320</v>
      </c>
      <c r="H869">
        <f t="shared" si="30"/>
        <v>8</v>
      </c>
      <c r="I869">
        <f t="shared" si="31"/>
        <v>2021</v>
      </c>
    </row>
    <row r="870" spans="1:9" x14ac:dyDescent="0.3">
      <c r="A870" s="1">
        <v>44420</v>
      </c>
      <c r="B870" t="s">
        <v>8</v>
      </c>
      <c r="C870" t="s">
        <v>40</v>
      </c>
      <c r="D870" t="s">
        <v>139</v>
      </c>
      <c r="E870" t="s">
        <v>104</v>
      </c>
      <c r="F870">
        <v>4620</v>
      </c>
      <c r="H870">
        <f t="shared" si="30"/>
        <v>8</v>
      </c>
      <c r="I870">
        <f t="shared" si="31"/>
        <v>2021</v>
      </c>
    </row>
    <row r="871" spans="1:9" x14ac:dyDescent="0.3">
      <c r="A871" s="1">
        <v>44420</v>
      </c>
      <c r="B871" t="s">
        <v>8</v>
      </c>
      <c r="C871" t="s">
        <v>225</v>
      </c>
      <c r="D871" t="s">
        <v>12</v>
      </c>
      <c r="E871" t="s">
        <v>100</v>
      </c>
      <c r="F871">
        <v>700</v>
      </c>
      <c r="H871">
        <f t="shared" si="30"/>
        <v>8</v>
      </c>
      <c r="I871">
        <f t="shared" si="31"/>
        <v>2021</v>
      </c>
    </row>
    <row r="872" spans="1:9" x14ac:dyDescent="0.3">
      <c r="A872" s="1">
        <v>44420</v>
      </c>
      <c r="B872" t="s">
        <v>71</v>
      </c>
      <c r="G872">
        <v>13360</v>
      </c>
      <c r="H872">
        <f t="shared" si="30"/>
        <v>8</v>
      </c>
      <c r="I872">
        <f t="shared" si="31"/>
        <v>2021</v>
      </c>
    </row>
    <row r="873" spans="1:9" x14ac:dyDescent="0.3">
      <c r="A873" s="1">
        <v>44420</v>
      </c>
      <c r="B873" t="s">
        <v>71</v>
      </c>
      <c r="C873" t="s">
        <v>57</v>
      </c>
      <c r="D873" t="s">
        <v>15</v>
      </c>
      <c r="E873" t="s">
        <v>329</v>
      </c>
      <c r="F873">
        <v>4320</v>
      </c>
      <c r="H873">
        <f t="shared" si="30"/>
        <v>8</v>
      </c>
      <c r="I873">
        <f t="shared" si="31"/>
        <v>2021</v>
      </c>
    </row>
    <row r="874" spans="1:9" x14ac:dyDescent="0.3">
      <c r="A874" s="1">
        <v>44420</v>
      </c>
      <c r="B874" t="s">
        <v>71</v>
      </c>
      <c r="C874" t="s">
        <v>56</v>
      </c>
      <c r="D874" t="s">
        <v>17</v>
      </c>
      <c r="E874" t="s">
        <v>329</v>
      </c>
      <c r="F874">
        <v>2880</v>
      </c>
      <c r="H874">
        <f t="shared" si="30"/>
        <v>8</v>
      </c>
      <c r="I874">
        <f t="shared" si="31"/>
        <v>2021</v>
      </c>
    </row>
    <row r="875" spans="1:9" x14ac:dyDescent="0.3">
      <c r="A875" s="1">
        <v>44420</v>
      </c>
      <c r="B875" t="s">
        <v>71</v>
      </c>
      <c r="C875" t="s">
        <v>121</v>
      </c>
      <c r="D875" t="s">
        <v>15</v>
      </c>
      <c r="E875" t="s">
        <v>329</v>
      </c>
      <c r="F875">
        <v>4320</v>
      </c>
      <c r="H875">
        <f t="shared" si="30"/>
        <v>8</v>
      </c>
      <c r="I875">
        <f t="shared" si="31"/>
        <v>2021</v>
      </c>
    </row>
    <row r="876" spans="1:9" x14ac:dyDescent="0.3">
      <c r="A876" s="1">
        <v>44420</v>
      </c>
      <c r="B876" t="s">
        <v>71</v>
      </c>
      <c r="C876" t="s">
        <v>281</v>
      </c>
      <c r="D876" t="s">
        <v>17</v>
      </c>
      <c r="E876" t="s">
        <v>84</v>
      </c>
      <c r="F876">
        <v>1000</v>
      </c>
      <c r="H876">
        <f t="shared" si="30"/>
        <v>8</v>
      </c>
      <c r="I876">
        <f t="shared" si="31"/>
        <v>2021</v>
      </c>
    </row>
    <row r="877" spans="1:9" x14ac:dyDescent="0.3">
      <c r="A877" s="1">
        <v>44420</v>
      </c>
      <c r="B877" t="s">
        <v>71</v>
      </c>
      <c r="C877" t="s">
        <v>21</v>
      </c>
      <c r="D877" t="s">
        <v>9</v>
      </c>
      <c r="E877" t="s">
        <v>72</v>
      </c>
      <c r="F877">
        <v>840</v>
      </c>
      <c r="H877">
        <f t="shared" si="30"/>
        <v>8</v>
      </c>
      <c r="I877">
        <f t="shared" si="31"/>
        <v>2021</v>
      </c>
    </row>
    <row r="878" spans="1:9" x14ac:dyDescent="0.3">
      <c r="A878" s="1">
        <v>44422</v>
      </c>
      <c r="B878" t="s">
        <v>47</v>
      </c>
      <c r="G878">
        <v>9720</v>
      </c>
      <c r="H878">
        <f t="shared" si="30"/>
        <v>8</v>
      </c>
      <c r="I878">
        <f t="shared" si="31"/>
        <v>2021</v>
      </c>
    </row>
    <row r="879" spans="1:9" x14ac:dyDescent="0.3">
      <c r="A879" s="1">
        <v>44422</v>
      </c>
      <c r="B879" t="s">
        <v>47</v>
      </c>
      <c r="C879" t="s">
        <v>33</v>
      </c>
      <c r="D879" t="s">
        <v>163</v>
      </c>
      <c r="E879" t="s">
        <v>99</v>
      </c>
      <c r="F879">
        <v>9720</v>
      </c>
      <c r="H879">
        <f t="shared" si="30"/>
        <v>8</v>
      </c>
      <c r="I879">
        <f t="shared" si="31"/>
        <v>2021</v>
      </c>
    </row>
    <row r="880" spans="1:9" x14ac:dyDescent="0.3">
      <c r="A880" s="1">
        <v>44422</v>
      </c>
      <c r="B880" t="s">
        <v>3</v>
      </c>
      <c r="G880">
        <v>8825</v>
      </c>
      <c r="H880">
        <f t="shared" si="30"/>
        <v>8</v>
      </c>
      <c r="I880">
        <f t="shared" si="31"/>
        <v>2021</v>
      </c>
    </row>
    <row r="881" spans="1:9" x14ac:dyDescent="0.3">
      <c r="A881" s="1">
        <v>44422</v>
      </c>
      <c r="B881" t="s">
        <v>3</v>
      </c>
      <c r="C881" t="s">
        <v>40</v>
      </c>
      <c r="D881" t="s">
        <v>37</v>
      </c>
      <c r="E881" t="s">
        <v>104</v>
      </c>
      <c r="F881">
        <v>3300</v>
      </c>
      <c r="H881">
        <f t="shared" si="30"/>
        <v>8</v>
      </c>
      <c r="I881">
        <f t="shared" si="31"/>
        <v>2021</v>
      </c>
    </row>
    <row r="882" spans="1:9" x14ac:dyDescent="0.3">
      <c r="A882" s="1">
        <v>44422</v>
      </c>
      <c r="B882" t="s">
        <v>3</v>
      </c>
      <c r="C882" t="s">
        <v>38</v>
      </c>
      <c r="D882" t="s">
        <v>25</v>
      </c>
      <c r="E882" t="s">
        <v>13</v>
      </c>
      <c r="F882">
        <v>1725</v>
      </c>
      <c r="H882">
        <f t="shared" si="30"/>
        <v>8</v>
      </c>
      <c r="I882">
        <f t="shared" si="31"/>
        <v>2021</v>
      </c>
    </row>
    <row r="883" spans="1:9" x14ac:dyDescent="0.3">
      <c r="A883" s="1">
        <v>44422</v>
      </c>
      <c r="B883" t="s">
        <v>3</v>
      </c>
      <c r="C883" t="s">
        <v>94</v>
      </c>
      <c r="D883" t="s">
        <v>251</v>
      </c>
      <c r="E883" t="s">
        <v>186</v>
      </c>
      <c r="F883">
        <v>3800</v>
      </c>
      <c r="H883">
        <f t="shared" si="30"/>
        <v>8</v>
      </c>
      <c r="I883">
        <f t="shared" si="31"/>
        <v>2021</v>
      </c>
    </row>
    <row r="884" spans="1:9" x14ac:dyDescent="0.3">
      <c r="A884" s="1">
        <v>44422</v>
      </c>
      <c r="B884" t="s">
        <v>8</v>
      </c>
      <c r="G884">
        <v>16500</v>
      </c>
      <c r="H884">
        <f t="shared" si="30"/>
        <v>8</v>
      </c>
      <c r="I884">
        <f t="shared" si="31"/>
        <v>2021</v>
      </c>
    </row>
    <row r="885" spans="1:9" x14ac:dyDescent="0.3">
      <c r="A885" s="1">
        <v>44422</v>
      </c>
      <c r="B885" t="s">
        <v>8</v>
      </c>
      <c r="C885" t="s">
        <v>40</v>
      </c>
      <c r="D885" t="s">
        <v>52</v>
      </c>
      <c r="E885" t="s">
        <v>104</v>
      </c>
      <c r="F885">
        <v>16500</v>
      </c>
      <c r="H885">
        <f t="shared" si="30"/>
        <v>8</v>
      </c>
      <c r="I885">
        <f t="shared" si="31"/>
        <v>2021</v>
      </c>
    </row>
    <row r="886" spans="1:9" x14ac:dyDescent="0.3">
      <c r="A886" s="1">
        <v>44422</v>
      </c>
      <c r="B886" t="s">
        <v>55</v>
      </c>
      <c r="G886">
        <v>6600</v>
      </c>
      <c r="H886">
        <f t="shared" si="30"/>
        <v>8</v>
      </c>
      <c r="I886">
        <f t="shared" si="31"/>
        <v>2021</v>
      </c>
    </row>
    <row r="887" spans="1:9" x14ac:dyDescent="0.3">
      <c r="A887" s="1">
        <v>44422</v>
      </c>
      <c r="B887" t="s">
        <v>55</v>
      </c>
      <c r="C887" t="s">
        <v>40</v>
      </c>
      <c r="D887" t="s">
        <v>9</v>
      </c>
      <c r="E887" t="s">
        <v>104</v>
      </c>
      <c r="F887">
        <v>6600</v>
      </c>
      <c r="H887">
        <f t="shared" si="30"/>
        <v>8</v>
      </c>
      <c r="I887">
        <f t="shared" si="31"/>
        <v>2021</v>
      </c>
    </row>
    <row r="888" spans="1:9" x14ac:dyDescent="0.3">
      <c r="A888" s="1">
        <v>44424</v>
      </c>
      <c r="B888" t="s">
        <v>8</v>
      </c>
      <c r="G888">
        <v>5175</v>
      </c>
      <c r="H888">
        <f t="shared" si="30"/>
        <v>8</v>
      </c>
      <c r="I888">
        <f t="shared" si="31"/>
        <v>2021</v>
      </c>
    </row>
    <row r="889" spans="1:9" x14ac:dyDescent="0.3">
      <c r="A889" s="1">
        <v>44424</v>
      </c>
      <c r="B889" t="s">
        <v>8</v>
      </c>
      <c r="C889" t="s">
        <v>38</v>
      </c>
      <c r="D889" t="s">
        <v>61</v>
      </c>
      <c r="E889" t="s">
        <v>13</v>
      </c>
      <c r="F889">
        <v>5175</v>
      </c>
      <c r="H889">
        <f t="shared" si="30"/>
        <v>8</v>
      </c>
      <c r="I889">
        <f t="shared" si="31"/>
        <v>2021</v>
      </c>
    </row>
    <row r="890" spans="1:9" x14ac:dyDescent="0.3">
      <c r="A890" s="1">
        <v>44424</v>
      </c>
      <c r="B890" t="s">
        <v>47</v>
      </c>
      <c r="G890">
        <v>10440</v>
      </c>
      <c r="H890">
        <f t="shared" si="30"/>
        <v>8</v>
      </c>
      <c r="I890">
        <f t="shared" si="31"/>
        <v>2021</v>
      </c>
    </row>
    <row r="891" spans="1:9" x14ac:dyDescent="0.3">
      <c r="A891" s="1">
        <v>44424</v>
      </c>
      <c r="B891" t="s">
        <v>47</v>
      </c>
      <c r="C891" t="s">
        <v>271</v>
      </c>
      <c r="D891" t="s">
        <v>93</v>
      </c>
      <c r="E891" t="s">
        <v>272</v>
      </c>
      <c r="F891">
        <v>10440</v>
      </c>
      <c r="H891">
        <f t="shared" si="30"/>
        <v>8</v>
      </c>
      <c r="I891">
        <f t="shared" si="31"/>
        <v>2021</v>
      </c>
    </row>
    <row r="892" spans="1:9" x14ac:dyDescent="0.3">
      <c r="A892" s="1">
        <v>44424</v>
      </c>
      <c r="B892" t="s">
        <v>82</v>
      </c>
      <c r="G892">
        <v>5200</v>
      </c>
      <c r="H892">
        <f t="shared" si="30"/>
        <v>8</v>
      </c>
      <c r="I892">
        <f t="shared" si="31"/>
        <v>2021</v>
      </c>
    </row>
    <row r="893" spans="1:9" x14ac:dyDescent="0.3">
      <c r="A893" s="1">
        <v>44424</v>
      </c>
      <c r="B893" t="s">
        <v>82</v>
      </c>
      <c r="C893" t="s">
        <v>40</v>
      </c>
      <c r="D893" t="s">
        <v>37</v>
      </c>
      <c r="E893" t="s">
        <v>104</v>
      </c>
      <c r="F893">
        <v>3300</v>
      </c>
      <c r="H893">
        <f t="shared" si="30"/>
        <v>8</v>
      </c>
      <c r="I893">
        <f t="shared" si="31"/>
        <v>2021</v>
      </c>
    </row>
    <row r="894" spans="1:9" x14ac:dyDescent="0.3">
      <c r="A894" s="1">
        <v>44424</v>
      </c>
      <c r="B894" t="s">
        <v>82</v>
      </c>
      <c r="C894" t="s">
        <v>94</v>
      </c>
      <c r="D894" t="s">
        <v>180</v>
      </c>
      <c r="E894" t="s">
        <v>186</v>
      </c>
      <c r="F894">
        <v>1900</v>
      </c>
      <c r="H894">
        <f t="shared" si="30"/>
        <v>8</v>
      </c>
      <c r="I894">
        <f t="shared" si="31"/>
        <v>2021</v>
      </c>
    </row>
    <row r="895" spans="1:9" x14ac:dyDescent="0.3">
      <c r="A895" s="1">
        <v>44424</v>
      </c>
      <c r="B895" t="s">
        <v>75</v>
      </c>
      <c r="G895">
        <v>4455</v>
      </c>
      <c r="H895">
        <f t="shared" si="30"/>
        <v>8</v>
      </c>
      <c r="I895">
        <f t="shared" si="31"/>
        <v>2021</v>
      </c>
    </row>
    <row r="896" spans="1:9" x14ac:dyDescent="0.3">
      <c r="A896" s="1">
        <v>44424</v>
      </c>
      <c r="B896" t="s">
        <v>75</v>
      </c>
      <c r="C896" t="s">
        <v>33</v>
      </c>
      <c r="D896" t="s">
        <v>18</v>
      </c>
      <c r="E896" t="s">
        <v>34</v>
      </c>
      <c r="F896">
        <v>3280</v>
      </c>
      <c r="H896">
        <f t="shared" si="30"/>
        <v>8</v>
      </c>
      <c r="I896">
        <f t="shared" si="31"/>
        <v>2021</v>
      </c>
    </row>
    <row r="897" spans="1:9" x14ac:dyDescent="0.3">
      <c r="A897" s="1">
        <v>44424</v>
      </c>
      <c r="B897" t="s">
        <v>75</v>
      </c>
      <c r="C897" t="s">
        <v>173</v>
      </c>
      <c r="D897" t="s">
        <v>37</v>
      </c>
      <c r="E897" t="s">
        <v>330</v>
      </c>
      <c r="F897">
        <v>1175</v>
      </c>
      <c r="H897">
        <f t="shared" si="30"/>
        <v>8</v>
      </c>
      <c r="I897">
        <f t="shared" si="31"/>
        <v>2021</v>
      </c>
    </row>
    <row r="898" spans="1:9" x14ac:dyDescent="0.3">
      <c r="A898" s="1">
        <v>44425</v>
      </c>
      <c r="B898" t="s">
        <v>32</v>
      </c>
      <c r="G898">
        <v>10603</v>
      </c>
      <c r="H898">
        <f t="shared" si="30"/>
        <v>8</v>
      </c>
      <c r="I898">
        <f t="shared" si="31"/>
        <v>2021</v>
      </c>
    </row>
    <row r="899" spans="1:9" x14ac:dyDescent="0.3">
      <c r="A899" s="1">
        <v>44425</v>
      </c>
      <c r="B899" t="s">
        <v>32</v>
      </c>
      <c r="C899" t="s">
        <v>33</v>
      </c>
      <c r="D899" t="s">
        <v>37</v>
      </c>
      <c r="E899" t="s">
        <v>331</v>
      </c>
      <c r="F899">
        <v>5465</v>
      </c>
      <c r="H899">
        <f t="shared" si="30"/>
        <v>8</v>
      </c>
      <c r="I899">
        <f t="shared" si="31"/>
        <v>2021</v>
      </c>
    </row>
    <row r="900" spans="1:9" x14ac:dyDescent="0.3">
      <c r="A900" s="1">
        <v>44425</v>
      </c>
      <c r="B900" t="s">
        <v>32</v>
      </c>
      <c r="C900" t="s">
        <v>22</v>
      </c>
      <c r="D900" t="s">
        <v>37</v>
      </c>
      <c r="E900" t="s">
        <v>328</v>
      </c>
      <c r="F900">
        <v>2783</v>
      </c>
      <c r="H900">
        <f t="shared" si="30"/>
        <v>8</v>
      </c>
      <c r="I900">
        <f t="shared" si="31"/>
        <v>2021</v>
      </c>
    </row>
    <row r="901" spans="1:9" x14ac:dyDescent="0.3">
      <c r="A901" s="1">
        <v>44425</v>
      </c>
      <c r="B901" t="s">
        <v>32</v>
      </c>
      <c r="C901" t="s">
        <v>173</v>
      </c>
      <c r="D901" t="s">
        <v>9</v>
      </c>
      <c r="E901" t="s">
        <v>332</v>
      </c>
      <c r="F901">
        <v>2355</v>
      </c>
      <c r="H901">
        <f t="shared" si="30"/>
        <v>8</v>
      </c>
      <c r="I901">
        <f t="shared" si="31"/>
        <v>2021</v>
      </c>
    </row>
    <row r="902" spans="1:9" x14ac:dyDescent="0.3">
      <c r="A902" s="1">
        <v>44425</v>
      </c>
      <c r="B902" t="s">
        <v>333</v>
      </c>
      <c r="G902">
        <v>2794</v>
      </c>
      <c r="H902">
        <f t="shared" si="30"/>
        <v>8</v>
      </c>
      <c r="I902">
        <f t="shared" si="31"/>
        <v>2021</v>
      </c>
    </row>
    <row r="903" spans="1:9" x14ac:dyDescent="0.3">
      <c r="A903" s="1">
        <v>44425</v>
      </c>
      <c r="B903" t="s">
        <v>333</v>
      </c>
      <c r="C903" t="s">
        <v>33</v>
      </c>
      <c r="D903" t="s">
        <v>12</v>
      </c>
      <c r="E903" t="s">
        <v>331</v>
      </c>
      <c r="F903">
        <v>1093</v>
      </c>
      <c r="H903">
        <f t="shared" ref="H903:H959" si="32">MONTH(A903)</f>
        <v>8</v>
      </c>
      <c r="I903">
        <f t="shared" ref="I903:I959" si="33">YEAR(A903)</f>
        <v>2021</v>
      </c>
    </row>
    <row r="904" spans="1:9" x14ac:dyDescent="0.3">
      <c r="A904" s="1">
        <v>44425</v>
      </c>
      <c r="B904" t="s">
        <v>333</v>
      </c>
      <c r="C904" t="s">
        <v>22</v>
      </c>
      <c r="D904" t="s">
        <v>93</v>
      </c>
      <c r="E904" t="s">
        <v>334</v>
      </c>
      <c r="F904">
        <v>1113</v>
      </c>
      <c r="H904">
        <f t="shared" si="32"/>
        <v>8</v>
      </c>
      <c r="I904">
        <f t="shared" si="33"/>
        <v>2021</v>
      </c>
    </row>
    <row r="905" spans="1:9" x14ac:dyDescent="0.3">
      <c r="A905" s="1">
        <v>44425</v>
      </c>
      <c r="B905" t="s">
        <v>333</v>
      </c>
      <c r="C905" t="s">
        <v>173</v>
      </c>
      <c r="D905" t="s">
        <v>25</v>
      </c>
      <c r="E905" t="s">
        <v>335</v>
      </c>
      <c r="F905">
        <v>588</v>
      </c>
      <c r="H905">
        <f t="shared" si="32"/>
        <v>8</v>
      </c>
      <c r="I905">
        <f t="shared" si="33"/>
        <v>2021</v>
      </c>
    </row>
    <row r="906" spans="1:9" x14ac:dyDescent="0.3">
      <c r="A906" s="1">
        <v>44425</v>
      </c>
      <c r="B906" t="s">
        <v>200</v>
      </c>
      <c r="G906">
        <v>5450</v>
      </c>
      <c r="H906">
        <f t="shared" si="32"/>
        <v>8</v>
      </c>
      <c r="I906">
        <f t="shared" si="33"/>
        <v>2021</v>
      </c>
    </row>
    <row r="907" spans="1:9" x14ac:dyDescent="0.3">
      <c r="A907" s="1">
        <v>44425</v>
      </c>
      <c r="B907" t="s">
        <v>200</v>
      </c>
      <c r="C907" t="s">
        <v>33</v>
      </c>
      <c r="D907" t="s">
        <v>25</v>
      </c>
      <c r="E907" t="s">
        <v>327</v>
      </c>
      <c r="F907">
        <v>2732</v>
      </c>
      <c r="H907">
        <f t="shared" si="32"/>
        <v>8</v>
      </c>
      <c r="I907">
        <f t="shared" si="33"/>
        <v>2021</v>
      </c>
    </row>
    <row r="908" spans="1:9" x14ac:dyDescent="0.3">
      <c r="A908" s="1">
        <v>44425</v>
      </c>
      <c r="B908" t="s">
        <v>200</v>
      </c>
      <c r="C908" t="s">
        <v>22</v>
      </c>
      <c r="D908" t="s">
        <v>37</v>
      </c>
      <c r="E908" t="s">
        <v>328</v>
      </c>
      <c r="F908">
        <v>2783</v>
      </c>
      <c r="H908">
        <f t="shared" si="32"/>
        <v>8</v>
      </c>
      <c r="I908">
        <f t="shared" si="33"/>
        <v>2021</v>
      </c>
    </row>
    <row r="909" spans="1:9" x14ac:dyDescent="0.3">
      <c r="A909" s="1">
        <v>44425</v>
      </c>
      <c r="B909" t="s">
        <v>24</v>
      </c>
      <c r="G909">
        <v>-65</v>
      </c>
      <c r="H909">
        <f t="shared" si="32"/>
        <v>8</v>
      </c>
      <c r="I909">
        <f t="shared" si="33"/>
        <v>2021</v>
      </c>
    </row>
    <row r="910" spans="1:9" x14ac:dyDescent="0.3">
      <c r="A910" s="1">
        <v>44425</v>
      </c>
      <c r="B910" t="s">
        <v>220</v>
      </c>
      <c r="G910">
        <v>2847</v>
      </c>
      <c r="H910">
        <f t="shared" si="32"/>
        <v>8</v>
      </c>
      <c r="I910">
        <f t="shared" si="33"/>
        <v>2021</v>
      </c>
    </row>
    <row r="911" spans="1:9" x14ac:dyDescent="0.3">
      <c r="A911" s="1">
        <v>44425</v>
      </c>
      <c r="B911" t="s">
        <v>220</v>
      </c>
      <c r="C911" t="s">
        <v>22</v>
      </c>
      <c r="D911" t="s">
        <v>18</v>
      </c>
      <c r="E911" t="s">
        <v>309</v>
      </c>
      <c r="F911">
        <v>1670</v>
      </c>
      <c r="H911">
        <f t="shared" si="32"/>
        <v>8</v>
      </c>
      <c r="I911">
        <f t="shared" si="33"/>
        <v>2021</v>
      </c>
    </row>
    <row r="912" spans="1:9" x14ac:dyDescent="0.3">
      <c r="A912" s="1">
        <v>44425</v>
      </c>
      <c r="B912" t="s">
        <v>220</v>
      </c>
      <c r="C912" t="s">
        <v>173</v>
      </c>
      <c r="D912" t="s">
        <v>37</v>
      </c>
      <c r="E912" t="s">
        <v>326</v>
      </c>
      <c r="F912">
        <v>1177</v>
      </c>
      <c r="H912">
        <f t="shared" si="32"/>
        <v>8</v>
      </c>
      <c r="I912">
        <f t="shared" si="33"/>
        <v>2021</v>
      </c>
    </row>
    <row r="913" spans="1:9" x14ac:dyDescent="0.3">
      <c r="A913" s="1">
        <v>44425</v>
      </c>
      <c r="B913" t="s">
        <v>193</v>
      </c>
      <c r="G913">
        <v>7062</v>
      </c>
      <c r="H913">
        <f t="shared" si="32"/>
        <v>8</v>
      </c>
      <c r="I913">
        <f t="shared" si="33"/>
        <v>2021</v>
      </c>
    </row>
    <row r="914" spans="1:9" x14ac:dyDescent="0.3">
      <c r="A914" s="1">
        <v>44425</v>
      </c>
      <c r="B914" t="s">
        <v>193</v>
      </c>
      <c r="C914" t="s">
        <v>173</v>
      </c>
      <c r="D914" t="s">
        <v>63</v>
      </c>
      <c r="E914" t="s">
        <v>326</v>
      </c>
      <c r="F914">
        <v>7062</v>
      </c>
      <c r="H914">
        <f t="shared" si="32"/>
        <v>8</v>
      </c>
      <c r="I914">
        <f t="shared" si="33"/>
        <v>2021</v>
      </c>
    </row>
    <row r="915" spans="1:9" x14ac:dyDescent="0.3">
      <c r="A915" s="1">
        <v>44427</v>
      </c>
      <c r="B915" t="s">
        <v>47</v>
      </c>
      <c r="G915">
        <v>9882</v>
      </c>
      <c r="H915">
        <f t="shared" si="32"/>
        <v>8</v>
      </c>
      <c r="I915">
        <f t="shared" si="33"/>
        <v>2021</v>
      </c>
    </row>
    <row r="916" spans="1:9" x14ac:dyDescent="0.3">
      <c r="A916" s="1">
        <v>44427</v>
      </c>
      <c r="B916" t="s">
        <v>47</v>
      </c>
      <c r="C916" t="s">
        <v>22</v>
      </c>
      <c r="D916" t="s">
        <v>15</v>
      </c>
      <c r="E916" t="s">
        <v>303</v>
      </c>
      <c r="F916">
        <v>9882</v>
      </c>
      <c r="H916">
        <f t="shared" si="32"/>
        <v>8</v>
      </c>
      <c r="I916">
        <f t="shared" si="33"/>
        <v>2021</v>
      </c>
    </row>
    <row r="917" spans="1:9" x14ac:dyDescent="0.3">
      <c r="A917" s="1">
        <v>44427</v>
      </c>
      <c r="B917" t="s">
        <v>96</v>
      </c>
      <c r="G917">
        <v>5535</v>
      </c>
      <c r="H917">
        <f t="shared" si="32"/>
        <v>8</v>
      </c>
      <c r="I917">
        <f t="shared" si="33"/>
        <v>2021</v>
      </c>
    </row>
    <row r="918" spans="1:9" x14ac:dyDescent="0.3">
      <c r="A918" s="1">
        <v>44427</v>
      </c>
      <c r="B918" t="s">
        <v>96</v>
      </c>
      <c r="C918" t="s">
        <v>33</v>
      </c>
      <c r="D918" t="s">
        <v>25</v>
      </c>
      <c r="E918" t="s">
        <v>164</v>
      </c>
      <c r="F918">
        <v>2725</v>
      </c>
      <c r="H918">
        <f t="shared" si="32"/>
        <v>8</v>
      </c>
      <c r="I918">
        <f t="shared" si="33"/>
        <v>2021</v>
      </c>
    </row>
    <row r="919" spans="1:9" x14ac:dyDescent="0.3">
      <c r="A919" s="1">
        <v>44427</v>
      </c>
      <c r="B919" t="s">
        <v>96</v>
      </c>
      <c r="C919" t="s">
        <v>22</v>
      </c>
      <c r="D919" t="s">
        <v>18</v>
      </c>
      <c r="E919" t="s">
        <v>303</v>
      </c>
      <c r="F919">
        <v>1647</v>
      </c>
      <c r="H919">
        <f t="shared" si="32"/>
        <v>8</v>
      </c>
      <c r="I919">
        <f t="shared" si="33"/>
        <v>2021</v>
      </c>
    </row>
    <row r="920" spans="1:9" x14ac:dyDescent="0.3">
      <c r="A920" s="1">
        <v>44427</v>
      </c>
      <c r="B920" t="s">
        <v>96</v>
      </c>
      <c r="C920" t="s">
        <v>173</v>
      </c>
      <c r="D920" t="s">
        <v>37</v>
      </c>
      <c r="E920" t="s">
        <v>336</v>
      </c>
      <c r="F920">
        <v>1163</v>
      </c>
      <c r="H920">
        <f t="shared" si="32"/>
        <v>8</v>
      </c>
      <c r="I920">
        <f t="shared" si="33"/>
        <v>2021</v>
      </c>
    </row>
    <row r="921" spans="1:9" x14ac:dyDescent="0.3">
      <c r="A921" s="1">
        <v>44427</v>
      </c>
      <c r="B921" t="s">
        <v>48</v>
      </c>
      <c r="G921">
        <v>3300</v>
      </c>
      <c r="H921">
        <f t="shared" si="32"/>
        <v>8</v>
      </c>
      <c r="I921">
        <f t="shared" si="33"/>
        <v>2021</v>
      </c>
    </row>
    <row r="922" spans="1:9" x14ac:dyDescent="0.3">
      <c r="A922" s="1">
        <v>44427</v>
      </c>
      <c r="B922" t="s">
        <v>48</v>
      </c>
      <c r="C922" t="s">
        <v>40</v>
      </c>
      <c r="D922" t="s">
        <v>37</v>
      </c>
      <c r="E922" t="s">
        <v>104</v>
      </c>
      <c r="F922">
        <v>3300</v>
      </c>
      <c r="H922">
        <f t="shared" si="32"/>
        <v>8</v>
      </c>
      <c r="I922">
        <f t="shared" si="33"/>
        <v>2021</v>
      </c>
    </row>
    <row r="923" spans="1:9" x14ac:dyDescent="0.3">
      <c r="A923" s="1">
        <v>44432</v>
      </c>
      <c r="B923" t="s">
        <v>8</v>
      </c>
      <c r="G923">
        <v>3450</v>
      </c>
      <c r="H923">
        <f t="shared" si="32"/>
        <v>8</v>
      </c>
      <c r="I923">
        <f t="shared" si="33"/>
        <v>2021</v>
      </c>
    </row>
    <row r="924" spans="1:9" x14ac:dyDescent="0.3">
      <c r="A924" s="1">
        <v>44432</v>
      </c>
      <c r="B924" t="s">
        <v>8</v>
      </c>
      <c r="C924" t="s">
        <v>38</v>
      </c>
      <c r="D924" t="s">
        <v>23</v>
      </c>
      <c r="E924" t="s">
        <v>13</v>
      </c>
      <c r="F924">
        <v>1035</v>
      </c>
      <c r="H924">
        <f t="shared" si="32"/>
        <v>8</v>
      </c>
      <c r="I924">
        <f t="shared" si="33"/>
        <v>2021</v>
      </c>
    </row>
    <row r="925" spans="1:9" x14ac:dyDescent="0.3">
      <c r="A925" s="1">
        <v>44432</v>
      </c>
      <c r="B925" t="s">
        <v>8</v>
      </c>
      <c r="C925" t="s">
        <v>38</v>
      </c>
      <c r="D925" t="s">
        <v>93</v>
      </c>
      <c r="E925" t="s">
        <v>13</v>
      </c>
      <c r="F925">
        <v>1380</v>
      </c>
      <c r="H925">
        <f t="shared" si="32"/>
        <v>8</v>
      </c>
      <c r="I925">
        <f t="shared" si="33"/>
        <v>2021</v>
      </c>
    </row>
    <row r="926" spans="1:9" x14ac:dyDescent="0.3">
      <c r="A926" s="1">
        <v>44432</v>
      </c>
      <c r="B926" t="s">
        <v>8</v>
      </c>
      <c r="C926" t="s">
        <v>11</v>
      </c>
      <c r="D926" t="s">
        <v>23</v>
      </c>
      <c r="E926" t="s">
        <v>13</v>
      </c>
      <c r="F926">
        <v>1035</v>
      </c>
      <c r="H926">
        <f t="shared" si="32"/>
        <v>8</v>
      </c>
      <c r="I926">
        <f t="shared" si="33"/>
        <v>2021</v>
      </c>
    </row>
    <row r="927" spans="1:9" x14ac:dyDescent="0.3">
      <c r="A927" s="1">
        <v>44433</v>
      </c>
      <c r="B927" t="s">
        <v>337</v>
      </c>
      <c r="G927">
        <v>53800</v>
      </c>
      <c r="H927">
        <f t="shared" si="32"/>
        <v>8</v>
      </c>
      <c r="I927">
        <f t="shared" si="33"/>
        <v>2021</v>
      </c>
    </row>
    <row r="928" spans="1:9" x14ac:dyDescent="0.3">
      <c r="A928" s="1">
        <v>44433</v>
      </c>
      <c r="B928" t="s">
        <v>337</v>
      </c>
      <c r="C928" t="s">
        <v>338</v>
      </c>
      <c r="D928" t="s">
        <v>127</v>
      </c>
      <c r="E928" t="s">
        <v>265</v>
      </c>
      <c r="F928">
        <v>38800</v>
      </c>
      <c r="H928">
        <f t="shared" si="32"/>
        <v>8</v>
      </c>
      <c r="I928">
        <f t="shared" si="33"/>
        <v>2021</v>
      </c>
    </row>
    <row r="929" spans="1:9" x14ac:dyDescent="0.3">
      <c r="A929" s="1">
        <v>44433</v>
      </c>
      <c r="B929" t="s">
        <v>337</v>
      </c>
      <c r="C929" t="s">
        <v>339</v>
      </c>
      <c r="D929" t="s">
        <v>63</v>
      </c>
      <c r="E929" t="s">
        <v>105</v>
      </c>
      <c r="F929">
        <v>15000</v>
      </c>
      <c r="H929">
        <f t="shared" si="32"/>
        <v>8</v>
      </c>
      <c r="I929">
        <f t="shared" si="33"/>
        <v>2021</v>
      </c>
    </row>
    <row r="930" spans="1:9" x14ac:dyDescent="0.3">
      <c r="A930" s="1">
        <v>44433</v>
      </c>
      <c r="B930" t="s">
        <v>48</v>
      </c>
      <c r="G930">
        <v>6600</v>
      </c>
      <c r="H930">
        <f t="shared" si="32"/>
        <v>8</v>
      </c>
      <c r="I930">
        <f t="shared" si="33"/>
        <v>2021</v>
      </c>
    </row>
    <row r="931" spans="1:9" x14ac:dyDescent="0.3">
      <c r="A931" s="1">
        <v>44433</v>
      </c>
      <c r="B931" t="s">
        <v>48</v>
      </c>
      <c r="C931" t="s">
        <v>40</v>
      </c>
      <c r="D931" t="s">
        <v>9</v>
      </c>
      <c r="E931" t="s">
        <v>104</v>
      </c>
      <c r="F931">
        <v>6600</v>
      </c>
      <c r="H931">
        <f t="shared" si="32"/>
        <v>8</v>
      </c>
      <c r="I931">
        <f t="shared" si="33"/>
        <v>2021</v>
      </c>
    </row>
    <row r="932" spans="1:9" x14ac:dyDescent="0.3">
      <c r="A932" s="1">
        <v>44433</v>
      </c>
      <c r="B932" t="s">
        <v>248</v>
      </c>
      <c r="G932">
        <v>5200</v>
      </c>
      <c r="H932">
        <f t="shared" si="32"/>
        <v>8</v>
      </c>
      <c r="I932">
        <f t="shared" si="33"/>
        <v>2021</v>
      </c>
    </row>
    <row r="933" spans="1:9" x14ac:dyDescent="0.3">
      <c r="A933" s="1">
        <v>44433</v>
      </c>
      <c r="B933" t="s">
        <v>248</v>
      </c>
      <c r="C933" t="s">
        <v>40</v>
      </c>
      <c r="D933" t="s">
        <v>37</v>
      </c>
      <c r="E933" t="s">
        <v>104</v>
      </c>
      <c r="F933">
        <v>3300</v>
      </c>
      <c r="H933">
        <f t="shared" si="32"/>
        <v>8</v>
      </c>
      <c r="I933">
        <f t="shared" si="33"/>
        <v>2021</v>
      </c>
    </row>
    <row r="934" spans="1:9" x14ac:dyDescent="0.3">
      <c r="A934" s="1">
        <v>44433</v>
      </c>
      <c r="B934" t="s">
        <v>248</v>
      </c>
      <c r="C934" t="s">
        <v>94</v>
      </c>
      <c r="D934" t="s">
        <v>180</v>
      </c>
      <c r="E934" t="s">
        <v>186</v>
      </c>
      <c r="F934">
        <v>1900</v>
      </c>
      <c r="H934">
        <f t="shared" si="32"/>
        <v>8</v>
      </c>
      <c r="I934">
        <f t="shared" si="33"/>
        <v>2021</v>
      </c>
    </row>
    <row r="935" spans="1:9" x14ac:dyDescent="0.3">
      <c r="A935" s="1">
        <v>44434</v>
      </c>
      <c r="B935" t="s">
        <v>130</v>
      </c>
      <c r="G935">
        <v>1240</v>
      </c>
      <c r="H935">
        <f t="shared" si="32"/>
        <v>8</v>
      </c>
      <c r="I935">
        <f t="shared" si="33"/>
        <v>2021</v>
      </c>
    </row>
    <row r="936" spans="1:9" x14ac:dyDescent="0.3">
      <c r="A936" s="1">
        <v>44434</v>
      </c>
      <c r="B936" t="s">
        <v>130</v>
      </c>
      <c r="C936" t="s">
        <v>108</v>
      </c>
      <c r="D936" t="s">
        <v>5</v>
      </c>
      <c r="E936" t="s">
        <v>99</v>
      </c>
      <c r="F936">
        <v>540</v>
      </c>
      <c r="H936">
        <f t="shared" si="32"/>
        <v>8</v>
      </c>
      <c r="I936">
        <f t="shared" si="33"/>
        <v>2021</v>
      </c>
    </row>
    <row r="937" spans="1:9" x14ac:dyDescent="0.3">
      <c r="A937" s="1">
        <v>44434</v>
      </c>
      <c r="B937" t="s">
        <v>130</v>
      </c>
      <c r="C937" t="s">
        <v>38</v>
      </c>
      <c r="D937" t="s">
        <v>12</v>
      </c>
      <c r="E937" t="s">
        <v>100</v>
      </c>
      <c r="F937">
        <v>700</v>
      </c>
      <c r="H937">
        <f t="shared" si="32"/>
        <v>8</v>
      </c>
      <c r="I937">
        <f t="shared" si="33"/>
        <v>2021</v>
      </c>
    </row>
    <row r="938" spans="1:9" x14ac:dyDescent="0.3">
      <c r="A938" s="1">
        <v>44434</v>
      </c>
      <c r="B938" t="s">
        <v>130</v>
      </c>
      <c r="G938">
        <v>4412</v>
      </c>
      <c r="H938">
        <f t="shared" si="32"/>
        <v>8</v>
      </c>
      <c r="I938">
        <f t="shared" si="33"/>
        <v>2021</v>
      </c>
    </row>
    <row r="939" spans="1:9" x14ac:dyDescent="0.3">
      <c r="A939" s="1">
        <v>44434</v>
      </c>
      <c r="B939" t="s">
        <v>130</v>
      </c>
      <c r="C939" t="s">
        <v>40</v>
      </c>
      <c r="D939" t="s">
        <v>25</v>
      </c>
      <c r="E939" t="s">
        <v>104</v>
      </c>
      <c r="F939">
        <v>1650</v>
      </c>
      <c r="H939">
        <f t="shared" si="32"/>
        <v>8</v>
      </c>
      <c r="I939">
        <f t="shared" si="33"/>
        <v>2021</v>
      </c>
    </row>
    <row r="940" spans="1:9" x14ac:dyDescent="0.3">
      <c r="A940" s="1">
        <v>44434</v>
      </c>
      <c r="B940" t="s">
        <v>130</v>
      </c>
      <c r="C940" t="s">
        <v>94</v>
      </c>
      <c r="D940" t="s">
        <v>174</v>
      </c>
      <c r="E940" t="s">
        <v>263</v>
      </c>
      <c r="F940">
        <v>975</v>
      </c>
      <c r="H940">
        <f t="shared" si="32"/>
        <v>8</v>
      </c>
      <c r="I940">
        <f t="shared" si="33"/>
        <v>2021</v>
      </c>
    </row>
    <row r="941" spans="1:9" x14ac:dyDescent="0.3">
      <c r="A941" s="1">
        <v>44434</v>
      </c>
      <c r="B941" t="s">
        <v>130</v>
      </c>
      <c r="C941" t="s">
        <v>188</v>
      </c>
      <c r="D941" t="s">
        <v>5</v>
      </c>
      <c r="E941" t="s">
        <v>340</v>
      </c>
      <c r="F941">
        <v>747</v>
      </c>
      <c r="H941">
        <f t="shared" si="32"/>
        <v>8</v>
      </c>
      <c r="I941">
        <f t="shared" si="33"/>
        <v>2021</v>
      </c>
    </row>
    <row r="942" spans="1:9" x14ac:dyDescent="0.3">
      <c r="A942" s="1">
        <v>44434</v>
      </c>
      <c r="B942" t="s">
        <v>130</v>
      </c>
      <c r="C942" t="s">
        <v>38</v>
      </c>
      <c r="D942" t="s">
        <v>5</v>
      </c>
      <c r="E942" t="s">
        <v>100</v>
      </c>
      <c r="F942">
        <v>350</v>
      </c>
      <c r="H942">
        <f t="shared" si="32"/>
        <v>8</v>
      </c>
      <c r="I942">
        <f t="shared" si="33"/>
        <v>2021</v>
      </c>
    </row>
    <row r="943" spans="1:9" x14ac:dyDescent="0.3">
      <c r="A943" s="1">
        <v>44434</v>
      </c>
      <c r="B943" t="s">
        <v>130</v>
      </c>
      <c r="C943" t="s">
        <v>148</v>
      </c>
      <c r="D943" t="s">
        <v>12</v>
      </c>
      <c r="E943" t="s">
        <v>177</v>
      </c>
      <c r="F943">
        <v>360</v>
      </c>
      <c r="H943">
        <f t="shared" si="32"/>
        <v>8</v>
      </c>
      <c r="I943">
        <f t="shared" si="33"/>
        <v>2021</v>
      </c>
    </row>
    <row r="944" spans="1:9" x14ac:dyDescent="0.3">
      <c r="A944" s="1">
        <v>44434</v>
      </c>
      <c r="B944" t="s">
        <v>130</v>
      </c>
      <c r="C944" t="s">
        <v>40</v>
      </c>
      <c r="D944" t="s">
        <v>5</v>
      </c>
      <c r="E944" t="s">
        <v>104</v>
      </c>
      <c r="F944">
        <v>330</v>
      </c>
      <c r="H944">
        <f t="shared" si="32"/>
        <v>8</v>
      </c>
      <c r="I944">
        <f t="shared" si="33"/>
        <v>2021</v>
      </c>
    </row>
    <row r="945" spans="1:9" x14ac:dyDescent="0.3">
      <c r="A945" s="1">
        <v>44434</v>
      </c>
      <c r="B945" t="s">
        <v>130</v>
      </c>
      <c r="G945">
        <v>3172</v>
      </c>
      <c r="H945">
        <f t="shared" si="32"/>
        <v>8</v>
      </c>
      <c r="I945">
        <f t="shared" si="33"/>
        <v>2021</v>
      </c>
    </row>
    <row r="946" spans="1:9" x14ac:dyDescent="0.3">
      <c r="A946" s="1">
        <v>44434</v>
      </c>
      <c r="B946" t="s">
        <v>130</v>
      </c>
      <c r="C946" t="s">
        <v>198</v>
      </c>
      <c r="D946" t="s">
        <v>12</v>
      </c>
      <c r="E946" t="s">
        <v>166</v>
      </c>
      <c r="F946">
        <v>432</v>
      </c>
      <c r="H946">
        <f t="shared" si="32"/>
        <v>8</v>
      </c>
      <c r="I946">
        <f t="shared" si="33"/>
        <v>2021</v>
      </c>
    </row>
    <row r="947" spans="1:9" x14ac:dyDescent="0.3">
      <c r="A947" s="1">
        <v>44434</v>
      </c>
      <c r="B947" t="s">
        <v>130</v>
      </c>
      <c r="C947" t="s">
        <v>40</v>
      </c>
      <c r="D947" t="s">
        <v>93</v>
      </c>
      <c r="E947" t="s">
        <v>117</v>
      </c>
      <c r="F947">
        <v>1340</v>
      </c>
      <c r="H947">
        <f t="shared" si="32"/>
        <v>8</v>
      </c>
      <c r="I947">
        <f t="shared" si="33"/>
        <v>2021</v>
      </c>
    </row>
    <row r="948" spans="1:9" x14ac:dyDescent="0.3">
      <c r="A948" s="1">
        <v>44434</v>
      </c>
      <c r="B948" t="s">
        <v>130</v>
      </c>
      <c r="C948" t="s">
        <v>38</v>
      </c>
      <c r="D948" t="s">
        <v>93</v>
      </c>
      <c r="E948" t="s">
        <v>100</v>
      </c>
      <c r="F948">
        <v>1400</v>
      </c>
      <c r="H948">
        <f t="shared" si="32"/>
        <v>8</v>
      </c>
      <c r="I948">
        <f t="shared" si="33"/>
        <v>2021</v>
      </c>
    </row>
    <row r="949" spans="1:9" x14ac:dyDescent="0.3">
      <c r="A949" s="1">
        <v>44434</v>
      </c>
      <c r="B949" t="s">
        <v>341</v>
      </c>
      <c r="G949">
        <v>2626</v>
      </c>
      <c r="H949">
        <f t="shared" si="32"/>
        <v>8</v>
      </c>
      <c r="I949">
        <f t="shared" si="33"/>
        <v>2021</v>
      </c>
    </row>
    <row r="950" spans="1:9" x14ac:dyDescent="0.3">
      <c r="A950" s="1">
        <v>44434</v>
      </c>
      <c r="B950" t="s">
        <v>341</v>
      </c>
      <c r="C950" t="s">
        <v>165</v>
      </c>
      <c r="D950" t="s">
        <v>66</v>
      </c>
      <c r="E950" t="s">
        <v>166</v>
      </c>
      <c r="F950">
        <v>2376</v>
      </c>
      <c r="H950">
        <f t="shared" si="32"/>
        <v>8</v>
      </c>
      <c r="I950">
        <f t="shared" si="33"/>
        <v>2021</v>
      </c>
    </row>
    <row r="951" spans="1:9" x14ac:dyDescent="0.3">
      <c r="A951" s="1">
        <v>44434</v>
      </c>
      <c r="B951" t="s">
        <v>341</v>
      </c>
      <c r="C951" t="s">
        <v>235</v>
      </c>
      <c r="D951" t="s">
        <v>5</v>
      </c>
      <c r="E951" t="s">
        <v>105</v>
      </c>
      <c r="F951">
        <v>250</v>
      </c>
      <c r="H951">
        <f t="shared" si="32"/>
        <v>8</v>
      </c>
      <c r="I951">
        <f t="shared" si="33"/>
        <v>2021</v>
      </c>
    </row>
    <row r="952" spans="1:9" x14ac:dyDescent="0.3">
      <c r="A952" s="1">
        <v>44435</v>
      </c>
      <c r="B952" t="s">
        <v>234</v>
      </c>
      <c r="G952">
        <v>30126</v>
      </c>
      <c r="H952">
        <f t="shared" si="32"/>
        <v>8</v>
      </c>
      <c r="I952">
        <f t="shared" si="33"/>
        <v>2021</v>
      </c>
    </row>
    <row r="953" spans="1:9" x14ac:dyDescent="0.3">
      <c r="A953" s="1">
        <v>44435</v>
      </c>
      <c r="B953" t="s">
        <v>234</v>
      </c>
      <c r="C953" t="s">
        <v>40</v>
      </c>
      <c r="D953" t="s">
        <v>54</v>
      </c>
      <c r="E953" t="s">
        <v>104</v>
      </c>
      <c r="F953">
        <v>13200</v>
      </c>
      <c r="H953">
        <f t="shared" si="32"/>
        <v>8</v>
      </c>
      <c r="I953">
        <f t="shared" si="33"/>
        <v>2021</v>
      </c>
    </row>
    <row r="954" spans="1:9" x14ac:dyDescent="0.3">
      <c r="A954" s="1">
        <v>44435</v>
      </c>
      <c r="B954" t="s">
        <v>234</v>
      </c>
      <c r="C954" t="s">
        <v>38</v>
      </c>
      <c r="D954" t="s">
        <v>66</v>
      </c>
      <c r="E954" t="s">
        <v>62</v>
      </c>
      <c r="F954">
        <v>3762</v>
      </c>
      <c r="H954">
        <f t="shared" si="32"/>
        <v>8</v>
      </c>
      <c r="I954">
        <f t="shared" si="33"/>
        <v>2021</v>
      </c>
    </row>
    <row r="955" spans="1:9" x14ac:dyDescent="0.3">
      <c r="A955" s="1">
        <v>44435</v>
      </c>
      <c r="B955" t="s">
        <v>234</v>
      </c>
      <c r="C955" t="s">
        <v>11</v>
      </c>
      <c r="D955" t="s">
        <v>30</v>
      </c>
      <c r="E955" t="s">
        <v>62</v>
      </c>
      <c r="F955">
        <v>2394</v>
      </c>
      <c r="H955">
        <f t="shared" si="32"/>
        <v>8</v>
      </c>
      <c r="I955">
        <f t="shared" si="33"/>
        <v>2021</v>
      </c>
    </row>
    <row r="956" spans="1:9" x14ac:dyDescent="0.3">
      <c r="A956" s="1">
        <v>44435</v>
      </c>
      <c r="B956" t="s">
        <v>234</v>
      </c>
      <c r="C956" t="s">
        <v>293</v>
      </c>
      <c r="D956" t="s">
        <v>9</v>
      </c>
      <c r="E956" t="s">
        <v>214</v>
      </c>
      <c r="F956">
        <v>4300</v>
      </c>
      <c r="H956">
        <f t="shared" si="32"/>
        <v>8</v>
      </c>
      <c r="I956">
        <f t="shared" si="33"/>
        <v>2021</v>
      </c>
    </row>
    <row r="957" spans="1:9" x14ac:dyDescent="0.3">
      <c r="A957" s="1">
        <v>44435</v>
      </c>
      <c r="B957" t="s">
        <v>234</v>
      </c>
      <c r="C957" t="s">
        <v>293</v>
      </c>
      <c r="D957" t="s">
        <v>37</v>
      </c>
      <c r="E957" t="s">
        <v>214</v>
      </c>
      <c r="F957">
        <v>2150</v>
      </c>
      <c r="H957">
        <f t="shared" si="32"/>
        <v>8</v>
      </c>
      <c r="I957">
        <f t="shared" si="33"/>
        <v>2021</v>
      </c>
    </row>
    <row r="958" spans="1:9" x14ac:dyDescent="0.3">
      <c r="A958" s="1">
        <v>44435</v>
      </c>
      <c r="B958" t="s">
        <v>234</v>
      </c>
      <c r="C958" t="s">
        <v>108</v>
      </c>
      <c r="D958" t="s">
        <v>93</v>
      </c>
      <c r="E958" t="s">
        <v>99</v>
      </c>
      <c r="F958">
        <v>2160</v>
      </c>
      <c r="H958">
        <f t="shared" si="32"/>
        <v>8</v>
      </c>
      <c r="I958">
        <f t="shared" si="33"/>
        <v>2021</v>
      </c>
    </row>
    <row r="959" spans="1:9" x14ac:dyDescent="0.3">
      <c r="A959" s="1">
        <v>44435</v>
      </c>
      <c r="B959" t="s">
        <v>234</v>
      </c>
      <c r="C959" t="s">
        <v>188</v>
      </c>
      <c r="D959" t="s">
        <v>23</v>
      </c>
      <c r="E959" t="s">
        <v>215</v>
      </c>
      <c r="F959">
        <v>2160</v>
      </c>
      <c r="H959">
        <f t="shared" si="32"/>
        <v>8</v>
      </c>
      <c r="I959">
        <f t="shared" si="33"/>
        <v>2021</v>
      </c>
    </row>
    <row r="960" spans="1:9" x14ac:dyDescent="0.3">
      <c r="A960" s="1">
        <v>44435</v>
      </c>
      <c r="B960" t="s">
        <v>3</v>
      </c>
      <c r="G960">
        <v>3300</v>
      </c>
      <c r="H960">
        <f t="shared" ref="H960:H1015" si="34">MONTH(A960)</f>
        <v>8</v>
      </c>
      <c r="I960">
        <f t="shared" ref="I960:I1015" si="35">YEAR(A960)</f>
        <v>2021</v>
      </c>
    </row>
    <row r="961" spans="1:9" x14ac:dyDescent="0.3">
      <c r="A961" s="1">
        <v>44435</v>
      </c>
      <c r="B961" t="s">
        <v>3</v>
      </c>
      <c r="C961" t="s">
        <v>219</v>
      </c>
      <c r="D961" t="s">
        <v>12</v>
      </c>
      <c r="E961" t="s">
        <v>342</v>
      </c>
      <c r="F961">
        <v>1862</v>
      </c>
      <c r="H961">
        <f t="shared" si="34"/>
        <v>8</v>
      </c>
      <c r="I961">
        <f t="shared" si="35"/>
        <v>2021</v>
      </c>
    </row>
    <row r="962" spans="1:9" x14ac:dyDescent="0.3">
      <c r="A962" s="1">
        <v>44435</v>
      </c>
      <c r="B962" t="s">
        <v>3</v>
      </c>
      <c r="C962" t="s">
        <v>133</v>
      </c>
      <c r="D962" t="s">
        <v>18</v>
      </c>
      <c r="E962" t="s">
        <v>99</v>
      </c>
      <c r="F962">
        <v>3240</v>
      </c>
      <c r="H962">
        <f t="shared" si="34"/>
        <v>8</v>
      </c>
      <c r="I962">
        <f t="shared" si="35"/>
        <v>2021</v>
      </c>
    </row>
    <row r="963" spans="1:9" x14ac:dyDescent="0.3">
      <c r="A963" s="1">
        <v>44435</v>
      </c>
      <c r="B963" t="s">
        <v>3</v>
      </c>
      <c r="C963" t="s">
        <v>216</v>
      </c>
      <c r="D963" t="s">
        <v>5</v>
      </c>
      <c r="E963" t="s">
        <v>76</v>
      </c>
      <c r="F963">
        <v>570</v>
      </c>
      <c r="H963">
        <f t="shared" si="34"/>
        <v>8</v>
      </c>
      <c r="I963">
        <f t="shared" si="35"/>
        <v>2021</v>
      </c>
    </row>
    <row r="964" spans="1:9" x14ac:dyDescent="0.3">
      <c r="A964" s="1">
        <v>44435</v>
      </c>
      <c r="B964" t="s">
        <v>3</v>
      </c>
      <c r="C964" t="s">
        <v>247</v>
      </c>
      <c r="D964" t="s">
        <v>5</v>
      </c>
      <c r="E964" t="s">
        <v>160</v>
      </c>
      <c r="F964">
        <v>600</v>
      </c>
      <c r="H964">
        <f t="shared" si="34"/>
        <v>8</v>
      </c>
      <c r="I964">
        <f t="shared" si="35"/>
        <v>2021</v>
      </c>
    </row>
    <row r="965" spans="1:9" x14ac:dyDescent="0.3">
      <c r="A965" s="1">
        <v>44435</v>
      </c>
      <c r="B965" t="s">
        <v>3</v>
      </c>
      <c r="C965" t="s">
        <v>238</v>
      </c>
      <c r="D965" t="s">
        <v>5</v>
      </c>
      <c r="E965" t="s">
        <v>254</v>
      </c>
      <c r="F965">
        <v>200</v>
      </c>
      <c r="H965">
        <f t="shared" si="34"/>
        <v>8</v>
      </c>
      <c r="I965">
        <f t="shared" si="35"/>
        <v>2021</v>
      </c>
    </row>
    <row r="966" spans="1:9" x14ac:dyDescent="0.3">
      <c r="A966" s="1">
        <v>44435</v>
      </c>
      <c r="B966" t="s">
        <v>24</v>
      </c>
      <c r="G966">
        <v>-3172</v>
      </c>
      <c r="H966">
        <f t="shared" si="34"/>
        <v>8</v>
      </c>
      <c r="I966">
        <f t="shared" si="35"/>
        <v>2021</v>
      </c>
    </row>
    <row r="967" spans="1:9" x14ac:dyDescent="0.3">
      <c r="A967" s="1">
        <v>44436</v>
      </c>
      <c r="B967" t="s">
        <v>75</v>
      </c>
      <c r="G967">
        <v>8300</v>
      </c>
      <c r="H967">
        <f t="shared" si="34"/>
        <v>8</v>
      </c>
      <c r="I967">
        <f t="shared" si="35"/>
        <v>2021</v>
      </c>
    </row>
    <row r="968" spans="1:9" x14ac:dyDescent="0.3">
      <c r="A968" s="1">
        <v>44436</v>
      </c>
      <c r="B968" t="s">
        <v>75</v>
      </c>
      <c r="C968" t="s">
        <v>194</v>
      </c>
      <c r="D968">
        <v>287</v>
      </c>
      <c r="F968">
        <v>8300</v>
      </c>
      <c r="H968">
        <f t="shared" si="34"/>
        <v>8</v>
      </c>
      <c r="I968">
        <f t="shared" si="35"/>
        <v>2021</v>
      </c>
    </row>
    <row r="969" spans="1:9" x14ac:dyDescent="0.3">
      <c r="A969" s="1">
        <v>44436</v>
      </c>
      <c r="B969" t="s">
        <v>75</v>
      </c>
      <c r="C969" t="s">
        <v>40</v>
      </c>
      <c r="D969" t="s">
        <v>37</v>
      </c>
      <c r="E969" t="s">
        <v>104</v>
      </c>
      <c r="F969">
        <v>3300</v>
      </c>
      <c r="H969">
        <f t="shared" si="34"/>
        <v>8</v>
      </c>
      <c r="I969">
        <f t="shared" si="35"/>
        <v>2021</v>
      </c>
    </row>
    <row r="970" spans="1:9" x14ac:dyDescent="0.3">
      <c r="A970" s="1">
        <v>44436</v>
      </c>
      <c r="B970" t="s">
        <v>75</v>
      </c>
      <c r="C970" t="s">
        <v>338</v>
      </c>
      <c r="D970" t="s">
        <v>37</v>
      </c>
      <c r="E970" t="s">
        <v>156</v>
      </c>
      <c r="F970">
        <v>5000</v>
      </c>
      <c r="H970">
        <f t="shared" si="34"/>
        <v>8</v>
      </c>
      <c r="I970">
        <f t="shared" si="35"/>
        <v>2021</v>
      </c>
    </row>
    <row r="971" spans="1:9" x14ac:dyDescent="0.3">
      <c r="A971" s="1">
        <v>44436</v>
      </c>
      <c r="B971" t="s">
        <v>8</v>
      </c>
      <c r="G971">
        <v>3300</v>
      </c>
      <c r="H971">
        <f t="shared" si="34"/>
        <v>8</v>
      </c>
      <c r="I971">
        <f t="shared" si="35"/>
        <v>2021</v>
      </c>
    </row>
    <row r="972" spans="1:9" x14ac:dyDescent="0.3">
      <c r="A972" s="1">
        <v>44436</v>
      </c>
      <c r="B972" t="s">
        <v>8</v>
      </c>
      <c r="C972" t="s">
        <v>40</v>
      </c>
      <c r="D972" t="s">
        <v>37</v>
      </c>
      <c r="E972" t="s">
        <v>104</v>
      </c>
      <c r="F972">
        <v>3300</v>
      </c>
      <c r="H972">
        <f t="shared" si="34"/>
        <v>8</v>
      </c>
      <c r="I972">
        <f t="shared" si="35"/>
        <v>2021</v>
      </c>
    </row>
    <row r="973" spans="1:9" x14ac:dyDescent="0.3">
      <c r="A973" s="1">
        <v>44436</v>
      </c>
      <c r="B973" t="s">
        <v>308</v>
      </c>
      <c r="G973">
        <v>1500</v>
      </c>
      <c r="H973">
        <f t="shared" si="34"/>
        <v>8</v>
      </c>
      <c r="I973">
        <f t="shared" si="35"/>
        <v>2021</v>
      </c>
    </row>
    <row r="974" spans="1:9" x14ac:dyDescent="0.3">
      <c r="A974" s="1">
        <v>44436</v>
      </c>
      <c r="B974" t="s">
        <v>308</v>
      </c>
      <c r="C974" t="s">
        <v>148</v>
      </c>
      <c r="D974" t="s">
        <v>37</v>
      </c>
      <c r="E974" t="s">
        <v>343</v>
      </c>
      <c r="F974">
        <v>1500</v>
      </c>
      <c r="H974">
        <f t="shared" si="34"/>
        <v>8</v>
      </c>
      <c r="I974">
        <f t="shared" si="35"/>
        <v>2021</v>
      </c>
    </row>
    <row r="975" spans="1:9" x14ac:dyDescent="0.3">
      <c r="A975" s="1">
        <v>44439</v>
      </c>
      <c r="B975" t="s">
        <v>48</v>
      </c>
      <c r="G975">
        <v>1650</v>
      </c>
      <c r="H975">
        <f t="shared" si="34"/>
        <v>8</v>
      </c>
      <c r="I975">
        <f t="shared" si="35"/>
        <v>2021</v>
      </c>
    </row>
    <row r="976" spans="1:9" x14ac:dyDescent="0.3">
      <c r="A976" s="1">
        <v>44439</v>
      </c>
      <c r="B976" t="s">
        <v>48</v>
      </c>
      <c r="C976" t="s">
        <v>40</v>
      </c>
      <c r="D976" t="s">
        <v>25</v>
      </c>
      <c r="E976" t="s">
        <v>104</v>
      </c>
      <c r="F976">
        <v>1650</v>
      </c>
      <c r="H976">
        <f t="shared" si="34"/>
        <v>8</v>
      </c>
      <c r="I976">
        <f t="shared" si="35"/>
        <v>2021</v>
      </c>
    </row>
    <row r="977" spans="1:9" x14ac:dyDescent="0.3">
      <c r="A977" s="1">
        <v>44441</v>
      </c>
      <c r="B977" t="s">
        <v>8</v>
      </c>
      <c r="G977">
        <v>330</v>
      </c>
      <c r="H977">
        <f t="shared" si="34"/>
        <v>9</v>
      </c>
      <c r="I977">
        <f t="shared" si="35"/>
        <v>2021</v>
      </c>
    </row>
    <row r="978" spans="1:9" x14ac:dyDescent="0.3">
      <c r="A978" s="1">
        <v>44441</v>
      </c>
      <c r="B978" t="s">
        <v>8</v>
      </c>
      <c r="C978" t="s">
        <v>40</v>
      </c>
      <c r="D978" t="s">
        <v>5</v>
      </c>
      <c r="E978" t="s">
        <v>104</v>
      </c>
      <c r="F978">
        <v>330</v>
      </c>
      <c r="H978">
        <f t="shared" si="34"/>
        <v>9</v>
      </c>
      <c r="I978">
        <f t="shared" si="35"/>
        <v>2021</v>
      </c>
    </row>
    <row r="979" spans="1:9" x14ac:dyDescent="0.3">
      <c r="A979" s="1">
        <v>44442</v>
      </c>
      <c r="B979" t="s">
        <v>75</v>
      </c>
      <c r="G979">
        <v>3800</v>
      </c>
      <c r="H979">
        <f t="shared" si="34"/>
        <v>9</v>
      </c>
      <c r="I979">
        <f t="shared" si="35"/>
        <v>2021</v>
      </c>
    </row>
    <row r="980" spans="1:9" x14ac:dyDescent="0.3">
      <c r="A980" s="1">
        <v>44442</v>
      </c>
      <c r="B980" t="s">
        <v>75</v>
      </c>
      <c r="C980" t="s">
        <v>94</v>
      </c>
      <c r="D980" t="s">
        <v>251</v>
      </c>
      <c r="E980" t="s">
        <v>186</v>
      </c>
      <c r="F980">
        <v>3800</v>
      </c>
      <c r="H980">
        <f t="shared" si="34"/>
        <v>9</v>
      </c>
      <c r="I980">
        <f t="shared" si="35"/>
        <v>2021</v>
      </c>
    </row>
    <row r="981" spans="1:9" x14ac:dyDescent="0.3">
      <c r="A981" s="1">
        <v>44442</v>
      </c>
      <c r="B981" t="s">
        <v>234</v>
      </c>
      <c r="G981">
        <v>9100</v>
      </c>
      <c r="H981">
        <f t="shared" si="34"/>
        <v>9</v>
      </c>
      <c r="I981">
        <f t="shared" si="35"/>
        <v>2021</v>
      </c>
    </row>
    <row r="982" spans="1:9" x14ac:dyDescent="0.3">
      <c r="A982" s="1">
        <v>44442</v>
      </c>
      <c r="B982" t="s">
        <v>234</v>
      </c>
      <c r="C982" t="s">
        <v>94</v>
      </c>
      <c r="D982" t="s">
        <v>288</v>
      </c>
      <c r="E982" t="s">
        <v>186</v>
      </c>
      <c r="F982">
        <v>7600</v>
      </c>
      <c r="H982">
        <f t="shared" si="34"/>
        <v>9</v>
      </c>
      <c r="I982">
        <f t="shared" si="35"/>
        <v>2021</v>
      </c>
    </row>
    <row r="983" spans="1:9" x14ac:dyDescent="0.3">
      <c r="A983" s="1">
        <v>44442</v>
      </c>
      <c r="B983" t="s">
        <v>234</v>
      </c>
      <c r="C983" t="s">
        <v>225</v>
      </c>
      <c r="D983" t="s">
        <v>25</v>
      </c>
      <c r="E983" t="s">
        <v>119</v>
      </c>
      <c r="F983">
        <v>1500</v>
      </c>
      <c r="H983">
        <f t="shared" si="34"/>
        <v>9</v>
      </c>
      <c r="I983">
        <f t="shared" si="35"/>
        <v>2021</v>
      </c>
    </row>
    <row r="984" spans="1:9" x14ac:dyDescent="0.3">
      <c r="A984" s="1">
        <v>44442</v>
      </c>
      <c r="B984" t="s">
        <v>248</v>
      </c>
      <c r="G984">
        <v>1900</v>
      </c>
      <c r="H984">
        <f t="shared" si="34"/>
        <v>9</v>
      </c>
      <c r="I984">
        <f t="shared" si="35"/>
        <v>2021</v>
      </c>
    </row>
    <row r="985" spans="1:9" x14ac:dyDescent="0.3">
      <c r="A985" s="1">
        <v>44442</v>
      </c>
      <c r="B985" t="s">
        <v>248</v>
      </c>
      <c r="C985" t="s">
        <v>94</v>
      </c>
      <c r="D985" t="s">
        <v>180</v>
      </c>
      <c r="E985" t="s">
        <v>186</v>
      </c>
      <c r="F985">
        <v>1900</v>
      </c>
      <c r="H985">
        <f t="shared" si="34"/>
        <v>9</v>
      </c>
      <c r="I985">
        <f t="shared" si="35"/>
        <v>2021</v>
      </c>
    </row>
    <row r="986" spans="1:9" x14ac:dyDescent="0.3">
      <c r="A986" s="1">
        <v>44442</v>
      </c>
      <c r="B986" t="s">
        <v>75</v>
      </c>
      <c r="G986">
        <v>15140</v>
      </c>
      <c r="H986">
        <f t="shared" si="34"/>
        <v>9</v>
      </c>
      <c r="I986">
        <f t="shared" si="35"/>
        <v>2021</v>
      </c>
    </row>
    <row r="987" spans="1:9" x14ac:dyDescent="0.3">
      <c r="A987" s="1">
        <v>44442</v>
      </c>
      <c r="B987" t="s">
        <v>75</v>
      </c>
      <c r="C987" t="s">
        <v>211</v>
      </c>
      <c r="D987" t="s">
        <v>16</v>
      </c>
      <c r="E987" t="s">
        <v>212</v>
      </c>
      <c r="F987">
        <v>4980</v>
      </c>
      <c r="H987">
        <f t="shared" si="34"/>
        <v>9</v>
      </c>
      <c r="I987">
        <f t="shared" si="35"/>
        <v>2021</v>
      </c>
    </row>
    <row r="988" spans="1:9" x14ac:dyDescent="0.3">
      <c r="A988" s="1">
        <v>44442</v>
      </c>
      <c r="B988" t="s">
        <v>75</v>
      </c>
      <c r="C988" t="s">
        <v>213</v>
      </c>
      <c r="D988" t="s">
        <v>17</v>
      </c>
      <c r="E988" t="s">
        <v>214</v>
      </c>
      <c r="F988">
        <v>5160</v>
      </c>
      <c r="H988">
        <f t="shared" si="34"/>
        <v>9</v>
      </c>
      <c r="I988">
        <f t="shared" si="35"/>
        <v>2021</v>
      </c>
    </row>
    <row r="989" spans="1:9" x14ac:dyDescent="0.3">
      <c r="A989" s="1">
        <v>44442</v>
      </c>
      <c r="B989" t="s">
        <v>75</v>
      </c>
      <c r="C989" t="s">
        <v>338</v>
      </c>
      <c r="D989" t="s">
        <v>37</v>
      </c>
      <c r="E989" t="s">
        <v>156</v>
      </c>
      <c r="F989">
        <v>5000</v>
      </c>
      <c r="H989">
        <f t="shared" si="34"/>
        <v>9</v>
      </c>
      <c r="I989">
        <f t="shared" si="35"/>
        <v>2021</v>
      </c>
    </row>
    <row r="990" spans="1:9" x14ac:dyDescent="0.3">
      <c r="A990" s="1">
        <v>44442</v>
      </c>
      <c r="B990" t="s">
        <v>3</v>
      </c>
      <c r="G990">
        <v>2800</v>
      </c>
      <c r="H990">
        <f t="shared" si="34"/>
        <v>9</v>
      </c>
      <c r="I990">
        <f t="shared" si="35"/>
        <v>2021</v>
      </c>
    </row>
    <row r="991" spans="1:9" x14ac:dyDescent="0.3">
      <c r="A991" s="1">
        <v>44442</v>
      </c>
      <c r="B991" t="s">
        <v>3</v>
      </c>
      <c r="C991" t="s">
        <v>324</v>
      </c>
      <c r="D991" t="s">
        <v>93</v>
      </c>
      <c r="E991" t="s">
        <v>100</v>
      </c>
      <c r="F991">
        <v>1400</v>
      </c>
      <c r="H991">
        <f t="shared" si="34"/>
        <v>9</v>
      </c>
      <c r="I991">
        <f t="shared" si="35"/>
        <v>2021</v>
      </c>
    </row>
    <row r="992" spans="1:9" x14ac:dyDescent="0.3">
      <c r="A992" s="1">
        <v>44442</v>
      </c>
      <c r="B992" t="s">
        <v>3</v>
      </c>
      <c r="C992" t="s">
        <v>325</v>
      </c>
      <c r="D992" t="s">
        <v>93</v>
      </c>
      <c r="E992" t="s">
        <v>100</v>
      </c>
      <c r="F992">
        <v>1400</v>
      </c>
      <c r="H992">
        <f t="shared" si="34"/>
        <v>9</v>
      </c>
      <c r="I992">
        <f t="shared" si="35"/>
        <v>2021</v>
      </c>
    </row>
    <row r="993" spans="1:9" x14ac:dyDescent="0.3">
      <c r="A993" s="1">
        <v>44449</v>
      </c>
      <c r="B993" t="s">
        <v>8</v>
      </c>
      <c r="G993">
        <v>31575</v>
      </c>
      <c r="H993">
        <f t="shared" si="34"/>
        <v>9</v>
      </c>
      <c r="I993">
        <f t="shared" si="35"/>
        <v>2021</v>
      </c>
    </row>
    <row r="994" spans="1:9" x14ac:dyDescent="0.3">
      <c r="A994" s="1">
        <v>44449</v>
      </c>
      <c r="B994" t="s">
        <v>8</v>
      </c>
      <c r="C994" t="s">
        <v>194</v>
      </c>
      <c r="D994">
        <v>297</v>
      </c>
      <c r="F994">
        <v>31575</v>
      </c>
      <c r="H994">
        <f t="shared" si="34"/>
        <v>9</v>
      </c>
      <c r="I994">
        <f t="shared" si="35"/>
        <v>2021</v>
      </c>
    </row>
    <row r="995" spans="1:9" x14ac:dyDescent="0.3">
      <c r="A995" s="1">
        <v>44449</v>
      </c>
      <c r="B995" t="s">
        <v>8</v>
      </c>
      <c r="C995" t="s">
        <v>40</v>
      </c>
      <c r="D995" t="s">
        <v>127</v>
      </c>
      <c r="E995" t="s">
        <v>104</v>
      </c>
      <c r="F995">
        <v>26400</v>
      </c>
      <c r="H995">
        <f t="shared" si="34"/>
        <v>9</v>
      </c>
      <c r="I995">
        <f t="shared" si="35"/>
        <v>2021</v>
      </c>
    </row>
    <row r="996" spans="1:9" x14ac:dyDescent="0.3">
      <c r="A996" s="1">
        <v>44449</v>
      </c>
      <c r="B996" t="s">
        <v>8</v>
      </c>
      <c r="C996" t="s">
        <v>38</v>
      </c>
      <c r="D996" t="s">
        <v>61</v>
      </c>
      <c r="E996" t="s">
        <v>13</v>
      </c>
      <c r="F996">
        <v>5175</v>
      </c>
      <c r="H996">
        <f t="shared" si="34"/>
        <v>9</v>
      </c>
      <c r="I996">
        <f t="shared" si="35"/>
        <v>2021</v>
      </c>
    </row>
    <row r="997" spans="1:9" x14ac:dyDescent="0.3">
      <c r="A997" s="1">
        <v>44449</v>
      </c>
      <c r="B997" t="s">
        <v>97</v>
      </c>
      <c r="G997">
        <v>9860</v>
      </c>
      <c r="H997">
        <f t="shared" si="34"/>
        <v>9</v>
      </c>
      <c r="I997">
        <f t="shared" si="35"/>
        <v>2021</v>
      </c>
    </row>
    <row r="998" spans="1:9" x14ac:dyDescent="0.3">
      <c r="A998" s="1">
        <v>44449</v>
      </c>
      <c r="B998" t="s">
        <v>97</v>
      </c>
      <c r="C998" t="s">
        <v>198</v>
      </c>
      <c r="D998" t="s">
        <v>74</v>
      </c>
      <c r="E998" t="s">
        <v>182</v>
      </c>
      <c r="F998">
        <v>3040</v>
      </c>
      <c r="H998">
        <f t="shared" si="34"/>
        <v>9</v>
      </c>
      <c r="I998">
        <f t="shared" si="35"/>
        <v>2021</v>
      </c>
    </row>
    <row r="999" spans="1:9" x14ac:dyDescent="0.3">
      <c r="A999" s="1">
        <v>44449</v>
      </c>
      <c r="B999" t="s">
        <v>97</v>
      </c>
      <c r="C999" t="s">
        <v>235</v>
      </c>
      <c r="D999" t="s">
        <v>93</v>
      </c>
      <c r="E999" t="s">
        <v>344</v>
      </c>
      <c r="F999">
        <v>920</v>
      </c>
      <c r="H999">
        <f t="shared" si="34"/>
        <v>9</v>
      </c>
      <c r="I999">
        <f t="shared" si="35"/>
        <v>2021</v>
      </c>
    </row>
    <row r="1000" spans="1:9" x14ac:dyDescent="0.3">
      <c r="A1000" s="1">
        <v>44449</v>
      </c>
      <c r="B1000" t="s">
        <v>97</v>
      </c>
      <c r="C1000" t="s">
        <v>204</v>
      </c>
      <c r="D1000" t="s">
        <v>12</v>
      </c>
      <c r="E1000" t="s">
        <v>67</v>
      </c>
      <c r="F1000">
        <v>1260</v>
      </c>
      <c r="H1000">
        <f t="shared" si="34"/>
        <v>9</v>
      </c>
      <c r="I1000">
        <f t="shared" si="35"/>
        <v>2021</v>
      </c>
    </row>
    <row r="1001" spans="1:9" x14ac:dyDescent="0.3">
      <c r="A1001" s="1">
        <v>44449</v>
      </c>
      <c r="B1001" t="s">
        <v>97</v>
      </c>
      <c r="C1001" t="s">
        <v>94</v>
      </c>
      <c r="D1001" t="s">
        <v>180</v>
      </c>
      <c r="E1001" t="s">
        <v>263</v>
      </c>
      <c r="F1001">
        <v>1950</v>
      </c>
      <c r="H1001">
        <f t="shared" si="34"/>
        <v>9</v>
      </c>
      <c r="I1001">
        <f t="shared" si="35"/>
        <v>2021</v>
      </c>
    </row>
    <row r="1002" spans="1:9" x14ac:dyDescent="0.3">
      <c r="A1002" s="1">
        <v>44449</v>
      </c>
      <c r="B1002" t="s">
        <v>97</v>
      </c>
      <c r="C1002" t="s">
        <v>112</v>
      </c>
      <c r="D1002" t="s">
        <v>23</v>
      </c>
      <c r="E1002" t="s">
        <v>67</v>
      </c>
      <c r="F1002">
        <v>1890</v>
      </c>
      <c r="H1002">
        <f t="shared" si="34"/>
        <v>9</v>
      </c>
      <c r="I1002">
        <f t="shared" si="35"/>
        <v>2021</v>
      </c>
    </row>
    <row r="1003" spans="1:9" x14ac:dyDescent="0.3">
      <c r="A1003" s="1">
        <v>44449</v>
      </c>
      <c r="B1003" t="s">
        <v>97</v>
      </c>
      <c r="C1003" t="s">
        <v>44</v>
      </c>
      <c r="D1003" t="s">
        <v>12</v>
      </c>
      <c r="E1003" t="s">
        <v>103</v>
      </c>
      <c r="F1003">
        <v>800</v>
      </c>
      <c r="H1003">
        <f t="shared" si="34"/>
        <v>9</v>
      </c>
      <c r="I1003">
        <f t="shared" si="35"/>
        <v>2021</v>
      </c>
    </row>
    <row r="1004" spans="1:9" x14ac:dyDescent="0.3">
      <c r="A1004" s="1">
        <v>44449</v>
      </c>
      <c r="B1004" t="s">
        <v>141</v>
      </c>
      <c r="G1004">
        <v>6210</v>
      </c>
      <c r="H1004">
        <f t="shared" si="34"/>
        <v>9</v>
      </c>
      <c r="I1004">
        <f t="shared" si="35"/>
        <v>2021</v>
      </c>
    </row>
    <row r="1005" spans="1:9" x14ac:dyDescent="0.3">
      <c r="A1005" s="1">
        <v>44449</v>
      </c>
      <c r="B1005" t="s">
        <v>141</v>
      </c>
      <c r="C1005" t="s">
        <v>198</v>
      </c>
      <c r="D1005" t="s">
        <v>30</v>
      </c>
      <c r="E1005" t="s">
        <v>254</v>
      </c>
      <c r="F1005">
        <v>1400</v>
      </c>
      <c r="H1005">
        <f t="shared" si="34"/>
        <v>9</v>
      </c>
      <c r="I1005">
        <f t="shared" si="35"/>
        <v>2021</v>
      </c>
    </row>
    <row r="1006" spans="1:9" x14ac:dyDescent="0.3">
      <c r="A1006" s="1">
        <v>44449</v>
      </c>
      <c r="B1006" t="s">
        <v>141</v>
      </c>
      <c r="C1006" t="s">
        <v>235</v>
      </c>
      <c r="D1006" t="s">
        <v>23</v>
      </c>
      <c r="E1006" t="s">
        <v>105</v>
      </c>
      <c r="F1006">
        <v>750</v>
      </c>
      <c r="H1006">
        <f t="shared" si="34"/>
        <v>9</v>
      </c>
      <c r="I1006">
        <f t="shared" si="35"/>
        <v>2021</v>
      </c>
    </row>
    <row r="1007" spans="1:9" x14ac:dyDescent="0.3">
      <c r="A1007" s="1">
        <v>44449</v>
      </c>
      <c r="B1007" t="s">
        <v>141</v>
      </c>
      <c r="C1007" t="s">
        <v>136</v>
      </c>
      <c r="D1007" t="s">
        <v>12</v>
      </c>
      <c r="E1007" t="s">
        <v>67</v>
      </c>
      <c r="F1007">
        <v>1260</v>
      </c>
      <c r="H1007">
        <f t="shared" si="34"/>
        <v>9</v>
      </c>
      <c r="I1007">
        <f t="shared" si="35"/>
        <v>2021</v>
      </c>
    </row>
    <row r="1008" spans="1:9" x14ac:dyDescent="0.3">
      <c r="A1008" s="1">
        <v>44449</v>
      </c>
      <c r="B1008" t="s">
        <v>141</v>
      </c>
      <c r="C1008" t="s">
        <v>324</v>
      </c>
      <c r="D1008" t="s">
        <v>93</v>
      </c>
      <c r="E1008" t="s">
        <v>100</v>
      </c>
      <c r="F1008">
        <v>1400</v>
      </c>
      <c r="H1008">
        <f t="shared" si="34"/>
        <v>9</v>
      </c>
      <c r="I1008">
        <f t="shared" si="35"/>
        <v>2021</v>
      </c>
    </row>
    <row r="1009" spans="1:9" x14ac:dyDescent="0.3">
      <c r="A1009" s="1">
        <v>44449</v>
      </c>
      <c r="B1009" t="s">
        <v>141</v>
      </c>
      <c r="C1009" t="s">
        <v>325</v>
      </c>
      <c r="D1009" t="s">
        <v>93</v>
      </c>
      <c r="E1009" t="s">
        <v>100</v>
      </c>
      <c r="F1009">
        <v>1400</v>
      </c>
      <c r="H1009">
        <f t="shared" si="34"/>
        <v>9</v>
      </c>
      <c r="I1009">
        <f t="shared" si="35"/>
        <v>2021</v>
      </c>
    </row>
    <row r="1010" spans="1:9" x14ac:dyDescent="0.3">
      <c r="A1010" s="1">
        <v>44449</v>
      </c>
      <c r="B1010" t="s">
        <v>299</v>
      </c>
      <c r="G1010">
        <v>12300</v>
      </c>
      <c r="H1010">
        <f t="shared" si="34"/>
        <v>9</v>
      </c>
      <c r="I1010">
        <f t="shared" si="35"/>
        <v>2021</v>
      </c>
    </row>
    <row r="1011" spans="1:9" x14ac:dyDescent="0.3">
      <c r="A1011" s="1">
        <v>44449</v>
      </c>
      <c r="B1011" t="s">
        <v>299</v>
      </c>
      <c r="C1011" t="s">
        <v>94</v>
      </c>
      <c r="D1011" t="s">
        <v>244</v>
      </c>
      <c r="E1011" t="s">
        <v>186</v>
      </c>
      <c r="F1011">
        <v>5700</v>
      </c>
      <c r="H1011">
        <f t="shared" si="34"/>
        <v>9</v>
      </c>
      <c r="I1011">
        <f t="shared" si="35"/>
        <v>2021</v>
      </c>
    </row>
    <row r="1012" spans="1:9" x14ac:dyDescent="0.3">
      <c r="A1012" s="1">
        <v>44449</v>
      </c>
      <c r="B1012" t="s">
        <v>299</v>
      </c>
      <c r="C1012" t="s">
        <v>40</v>
      </c>
      <c r="D1012" t="s">
        <v>9</v>
      </c>
      <c r="E1012" t="s">
        <v>104</v>
      </c>
      <c r="F1012">
        <v>6600</v>
      </c>
      <c r="H1012">
        <f t="shared" si="34"/>
        <v>9</v>
      </c>
      <c r="I1012">
        <f t="shared" si="35"/>
        <v>2021</v>
      </c>
    </row>
    <row r="1013" spans="1:9" x14ac:dyDescent="0.3">
      <c r="A1013" s="1">
        <v>44449</v>
      </c>
      <c r="B1013" t="s">
        <v>248</v>
      </c>
      <c r="G1013">
        <v>6600</v>
      </c>
      <c r="H1013">
        <f t="shared" si="34"/>
        <v>9</v>
      </c>
      <c r="I1013">
        <f t="shared" si="35"/>
        <v>2021</v>
      </c>
    </row>
    <row r="1014" spans="1:9" x14ac:dyDescent="0.3">
      <c r="A1014" s="1">
        <v>44449</v>
      </c>
      <c r="B1014" t="s">
        <v>248</v>
      </c>
      <c r="C1014" t="s">
        <v>40</v>
      </c>
      <c r="D1014" t="s">
        <v>9</v>
      </c>
      <c r="E1014" t="s">
        <v>104</v>
      </c>
      <c r="F1014">
        <v>6600</v>
      </c>
      <c r="H1014">
        <f t="shared" si="34"/>
        <v>9</v>
      </c>
      <c r="I1014">
        <f t="shared" si="35"/>
        <v>2021</v>
      </c>
    </row>
    <row r="1015" spans="1:9" x14ac:dyDescent="0.3">
      <c r="A1015" s="1">
        <v>44449</v>
      </c>
      <c r="B1015" t="s">
        <v>234</v>
      </c>
      <c r="G1015">
        <v>17940</v>
      </c>
      <c r="H1015">
        <f t="shared" si="34"/>
        <v>9</v>
      </c>
      <c r="I1015">
        <f t="shared" si="35"/>
        <v>2021</v>
      </c>
    </row>
    <row r="1016" spans="1:9" x14ac:dyDescent="0.3">
      <c r="A1016" s="1">
        <v>44449</v>
      </c>
      <c r="B1016" t="s">
        <v>234</v>
      </c>
      <c r="C1016" t="s">
        <v>94</v>
      </c>
      <c r="D1016" t="s">
        <v>245</v>
      </c>
      <c r="E1016" t="s">
        <v>186</v>
      </c>
      <c r="F1016">
        <v>9500</v>
      </c>
      <c r="H1016">
        <f t="shared" ref="H1016:H1072" si="36">MONTH(A1016)</f>
        <v>9</v>
      </c>
      <c r="I1016">
        <f t="shared" ref="I1016:I1072" si="37">YEAR(A1016)</f>
        <v>2021</v>
      </c>
    </row>
    <row r="1017" spans="1:9" x14ac:dyDescent="0.3">
      <c r="A1017" s="1">
        <v>44449</v>
      </c>
      <c r="B1017" t="s">
        <v>234</v>
      </c>
      <c r="C1017" t="s">
        <v>324</v>
      </c>
      <c r="D1017" t="s">
        <v>59</v>
      </c>
      <c r="E1017" t="s">
        <v>13</v>
      </c>
      <c r="F1017">
        <v>2760</v>
      </c>
      <c r="H1017">
        <f t="shared" si="36"/>
        <v>9</v>
      </c>
      <c r="I1017">
        <f t="shared" si="37"/>
        <v>2021</v>
      </c>
    </row>
    <row r="1018" spans="1:9" x14ac:dyDescent="0.3">
      <c r="A1018" s="1">
        <v>44449</v>
      </c>
      <c r="B1018" t="s">
        <v>234</v>
      </c>
      <c r="C1018" t="s">
        <v>325</v>
      </c>
      <c r="D1018" t="s">
        <v>93</v>
      </c>
      <c r="E1018" t="s">
        <v>13</v>
      </c>
      <c r="F1018">
        <v>1380</v>
      </c>
      <c r="H1018">
        <f t="shared" si="36"/>
        <v>9</v>
      </c>
      <c r="I1018">
        <f t="shared" si="37"/>
        <v>2021</v>
      </c>
    </row>
    <row r="1019" spans="1:9" x14ac:dyDescent="0.3">
      <c r="A1019" s="1">
        <v>44449</v>
      </c>
      <c r="B1019" t="s">
        <v>234</v>
      </c>
      <c r="C1019" t="s">
        <v>293</v>
      </c>
      <c r="D1019" t="s">
        <v>9</v>
      </c>
      <c r="E1019" t="s">
        <v>214</v>
      </c>
      <c r="F1019">
        <v>4300</v>
      </c>
      <c r="H1019">
        <f t="shared" si="36"/>
        <v>9</v>
      </c>
      <c r="I1019">
        <f t="shared" si="37"/>
        <v>2021</v>
      </c>
    </row>
    <row r="1020" spans="1:9" x14ac:dyDescent="0.3">
      <c r="A1020" s="1">
        <v>44449</v>
      </c>
      <c r="B1020" t="s">
        <v>48</v>
      </c>
      <c r="G1020">
        <v>1650</v>
      </c>
      <c r="H1020">
        <f t="shared" si="36"/>
        <v>9</v>
      </c>
      <c r="I1020">
        <f t="shared" si="37"/>
        <v>2021</v>
      </c>
    </row>
    <row r="1021" spans="1:9" x14ac:dyDescent="0.3">
      <c r="A1021" s="1">
        <v>44449</v>
      </c>
      <c r="B1021" t="s">
        <v>48</v>
      </c>
      <c r="C1021" t="s">
        <v>40</v>
      </c>
      <c r="D1021" t="s">
        <v>25</v>
      </c>
      <c r="E1021" t="s">
        <v>104</v>
      </c>
      <c r="F1021">
        <v>1650</v>
      </c>
      <c r="H1021">
        <f t="shared" si="36"/>
        <v>9</v>
      </c>
      <c r="I1021">
        <f t="shared" si="37"/>
        <v>2021</v>
      </c>
    </row>
    <row r="1022" spans="1:9" x14ac:dyDescent="0.3">
      <c r="A1022" s="1">
        <v>44449</v>
      </c>
      <c r="B1022" t="s">
        <v>195</v>
      </c>
      <c r="G1022">
        <v>3423</v>
      </c>
      <c r="H1022">
        <f t="shared" si="36"/>
        <v>9</v>
      </c>
      <c r="I1022">
        <f t="shared" si="37"/>
        <v>2021</v>
      </c>
    </row>
    <row r="1023" spans="1:9" x14ac:dyDescent="0.3">
      <c r="A1023" s="1">
        <v>44449</v>
      </c>
      <c r="B1023" t="s">
        <v>195</v>
      </c>
      <c r="C1023" t="s">
        <v>22</v>
      </c>
      <c r="D1023" t="s">
        <v>18</v>
      </c>
      <c r="E1023" t="s">
        <v>210</v>
      </c>
      <c r="F1023">
        <v>1668</v>
      </c>
      <c r="H1023">
        <f t="shared" si="36"/>
        <v>9</v>
      </c>
      <c r="I1023">
        <f t="shared" si="37"/>
        <v>2021</v>
      </c>
    </row>
    <row r="1024" spans="1:9" x14ac:dyDescent="0.3">
      <c r="A1024" s="1">
        <v>44449</v>
      </c>
      <c r="B1024" t="s">
        <v>195</v>
      </c>
      <c r="C1024" t="s">
        <v>173</v>
      </c>
      <c r="D1024" t="s">
        <v>61</v>
      </c>
      <c r="E1024" t="s">
        <v>345</v>
      </c>
      <c r="F1024">
        <v>1755</v>
      </c>
      <c r="H1024">
        <f t="shared" si="36"/>
        <v>9</v>
      </c>
      <c r="I1024">
        <f t="shared" si="37"/>
        <v>2021</v>
      </c>
    </row>
    <row r="1025" spans="1:9" x14ac:dyDescent="0.3">
      <c r="A1025" s="1">
        <v>44449</v>
      </c>
      <c r="B1025" t="s">
        <v>85</v>
      </c>
      <c r="G1025">
        <v>4530</v>
      </c>
      <c r="H1025">
        <f t="shared" si="36"/>
        <v>9</v>
      </c>
      <c r="I1025">
        <f t="shared" si="37"/>
        <v>2021</v>
      </c>
    </row>
    <row r="1026" spans="1:9" x14ac:dyDescent="0.3">
      <c r="A1026" s="1">
        <v>44449</v>
      </c>
      <c r="B1026" t="s">
        <v>85</v>
      </c>
      <c r="C1026" t="s">
        <v>22</v>
      </c>
      <c r="D1026" t="s">
        <v>37</v>
      </c>
      <c r="E1026" t="s">
        <v>210</v>
      </c>
      <c r="F1026">
        <v>2780</v>
      </c>
      <c r="H1026">
        <f t="shared" si="36"/>
        <v>9</v>
      </c>
      <c r="I1026">
        <f t="shared" si="37"/>
        <v>2021</v>
      </c>
    </row>
    <row r="1027" spans="1:9" x14ac:dyDescent="0.3">
      <c r="A1027" s="1">
        <v>44449</v>
      </c>
      <c r="B1027" t="s">
        <v>85</v>
      </c>
      <c r="C1027" t="s">
        <v>173</v>
      </c>
      <c r="D1027" t="s">
        <v>61</v>
      </c>
      <c r="E1027" t="s">
        <v>346</v>
      </c>
      <c r="F1027">
        <v>1750</v>
      </c>
      <c r="H1027">
        <f t="shared" si="36"/>
        <v>9</v>
      </c>
      <c r="I1027">
        <f t="shared" si="37"/>
        <v>2021</v>
      </c>
    </row>
    <row r="1028" spans="1:9" x14ac:dyDescent="0.3">
      <c r="A1028" s="1">
        <v>44451</v>
      </c>
      <c r="B1028" t="s">
        <v>28</v>
      </c>
      <c r="G1028">
        <v>7440</v>
      </c>
      <c r="H1028">
        <f t="shared" si="36"/>
        <v>9</v>
      </c>
      <c r="I1028">
        <f t="shared" si="37"/>
        <v>2021</v>
      </c>
    </row>
    <row r="1029" spans="1:9" x14ac:dyDescent="0.3">
      <c r="A1029" s="1">
        <v>44451</v>
      </c>
      <c r="B1029" t="s">
        <v>28</v>
      </c>
      <c r="C1029" t="s">
        <v>40</v>
      </c>
      <c r="D1029" t="s">
        <v>37</v>
      </c>
      <c r="E1029" t="s">
        <v>104</v>
      </c>
      <c r="F1029">
        <v>3300</v>
      </c>
      <c r="H1029">
        <f t="shared" si="36"/>
        <v>9</v>
      </c>
      <c r="I1029">
        <f t="shared" si="37"/>
        <v>2021</v>
      </c>
    </row>
    <row r="1030" spans="1:9" x14ac:dyDescent="0.3">
      <c r="A1030" s="1">
        <v>44451</v>
      </c>
      <c r="B1030" t="s">
        <v>28</v>
      </c>
      <c r="C1030" t="s">
        <v>38</v>
      </c>
      <c r="D1030" t="s">
        <v>93</v>
      </c>
      <c r="E1030" t="s">
        <v>13</v>
      </c>
      <c r="F1030">
        <v>1380</v>
      </c>
      <c r="H1030">
        <f t="shared" si="36"/>
        <v>9</v>
      </c>
      <c r="I1030">
        <f t="shared" si="37"/>
        <v>2021</v>
      </c>
    </row>
    <row r="1031" spans="1:9" x14ac:dyDescent="0.3">
      <c r="A1031" s="1">
        <v>44451</v>
      </c>
      <c r="B1031" t="s">
        <v>28</v>
      </c>
      <c r="C1031" t="s">
        <v>324</v>
      </c>
      <c r="D1031" t="s">
        <v>93</v>
      </c>
      <c r="E1031" t="s">
        <v>13</v>
      </c>
      <c r="F1031">
        <v>1380</v>
      </c>
      <c r="H1031">
        <f t="shared" si="36"/>
        <v>9</v>
      </c>
      <c r="I1031">
        <f t="shared" si="37"/>
        <v>2021</v>
      </c>
    </row>
    <row r="1032" spans="1:9" x14ac:dyDescent="0.3">
      <c r="A1032" s="1">
        <v>44451</v>
      </c>
      <c r="B1032" t="s">
        <v>28</v>
      </c>
      <c r="C1032" t="s">
        <v>325</v>
      </c>
      <c r="D1032" t="s">
        <v>93</v>
      </c>
      <c r="E1032" t="s">
        <v>13</v>
      </c>
      <c r="F1032">
        <v>1380</v>
      </c>
      <c r="H1032">
        <f t="shared" si="36"/>
        <v>9</v>
      </c>
      <c r="I1032">
        <f t="shared" si="37"/>
        <v>2021</v>
      </c>
    </row>
    <row r="1033" spans="1:9" x14ac:dyDescent="0.3">
      <c r="A1033" s="1">
        <v>44451</v>
      </c>
      <c r="B1033" t="s">
        <v>234</v>
      </c>
      <c r="G1033">
        <v>10580</v>
      </c>
      <c r="H1033">
        <f t="shared" si="36"/>
        <v>9</v>
      </c>
      <c r="I1033">
        <f t="shared" si="37"/>
        <v>2021</v>
      </c>
    </row>
    <row r="1034" spans="1:9" x14ac:dyDescent="0.3">
      <c r="A1034" s="1">
        <v>44451</v>
      </c>
      <c r="B1034" t="s">
        <v>234</v>
      </c>
      <c r="C1034" t="s">
        <v>94</v>
      </c>
      <c r="D1034" t="s">
        <v>251</v>
      </c>
      <c r="E1034" t="s">
        <v>186</v>
      </c>
      <c r="F1034">
        <v>3800</v>
      </c>
      <c r="H1034">
        <f t="shared" si="36"/>
        <v>9</v>
      </c>
      <c r="I1034">
        <f t="shared" si="37"/>
        <v>2021</v>
      </c>
    </row>
    <row r="1035" spans="1:9" x14ac:dyDescent="0.3">
      <c r="A1035" s="1">
        <v>44451</v>
      </c>
      <c r="B1035" t="s">
        <v>234</v>
      </c>
      <c r="C1035" t="s">
        <v>40</v>
      </c>
      <c r="D1035" t="s">
        <v>139</v>
      </c>
      <c r="E1035" t="s">
        <v>104</v>
      </c>
      <c r="F1035">
        <v>4620</v>
      </c>
      <c r="H1035">
        <f t="shared" si="36"/>
        <v>9</v>
      </c>
      <c r="I1035">
        <f t="shared" si="37"/>
        <v>2021</v>
      </c>
    </row>
    <row r="1036" spans="1:9" x14ac:dyDescent="0.3">
      <c r="A1036" s="1">
        <v>44451</v>
      </c>
      <c r="B1036" t="s">
        <v>234</v>
      </c>
      <c r="C1036" t="s">
        <v>11</v>
      </c>
      <c r="D1036" t="s">
        <v>93</v>
      </c>
      <c r="E1036" t="s">
        <v>13</v>
      </c>
      <c r="F1036">
        <v>1380</v>
      </c>
      <c r="H1036">
        <f t="shared" si="36"/>
        <v>9</v>
      </c>
      <c r="I1036">
        <f t="shared" si="37"/>
        <v>2021</v>
      </c>
    </row>
    <row r="1037" spans="1:9" x14ac:dyDescent="0.3">
      <c r="A1037" s="1">
        <v>44451</v>
      </c>
      <c r="B1037" t="s">
        <v>234</v>
      </c>
      <c r="C1037" t="s">
        <v>44</v>
      </c>
      <c r="D1037" t="s">
        <v>12</v>
      </c>
      <c r="E1037" t="s">
        <v>43</v>
      </c>
      <c r="F1037">
        <v>780</v>
      </c>
      <c r="H1037">
        <f t="shared" si="36"/>
        <v>9</v>
      </c>
      <c r="I1037">
        <f t="shared" si="37"/>
        <v>2021</v>
      </c>
    </row>
    <row r="1038" spans="1:9" x14ac:dyDescent="0.3">
      <c r="A1038" s="1">
        <v>44452</v>
      </c>
      <c r="B1038" t="s">
        <v>48</v>
      </c>
      <c r="G1038">
        <v>3300</v>
      </c>
      <c r="H1038">
        <f t="shared" si="36"/>
        <v>9</v>
      </c>
      <c r="I1038">
        <f t="shared" si="37"/>
        <v>2021</v>
      </c>
    </row>
    <row r="1039" spans="1:9" x14ac:dyDescent="0.3">
      <c r="A1039" s="1">
        <v>44452</v>
      </c>
      <c r="B1039" t="s">
        <v>48</v>
      </c>
      <c r="C1039" t="s">
        <v>40</v>
      </c>
      <c r="D1039" t="s">
        <v>37</v>
      </c>
      <c r="E1039" t="s">
        <v>104</v>
      </c>
      <c r="F1039">
        <v>3300</v>
      </c>
      <c r="H1039">
        <f t="shared" si="36"/>
        <v>9</v>
      </c>
      <c r="I1039">
        <f t="shared" si="37"/>
        <v>2021</v>
      </c>
    </row>
    <row r="1040" spans="1:9" x14ac:dyDescent="0.3">
      <c r="A1040" s="1">
        <v>44457</v>
      </c>
      <c r="B1040" t="s">
        <v>3</v>
      </c>
      <c r="G1040">
        <v>2000</v>
      </c>
      <c r="H1040">
        <f t="shared" si="36"/>
        <v>9</v>
      </c>
      <c r="I1040">
        <f t="shared" si="37"/>
        <v>2021</v>
      </c>
    </row>
    <row r="1041" spans="1:9" x14ac:dyDescent="0.3">
      <c r="A1041" s="1">
        <v>44457</v>
      </c>
      <c r="B1041" t="s">
        <v>3</v>
      </c>
      <c r="C1041" t="s">
        <v>211</v>
      </c>
      <c r="D1041" t="s">
        <v>25</v>
      </c>
      <c r="E1041" t="s">
        <v>103</v>
      </c>
      <c r="F1041">
        <v>2000</v>
      </c>
      <c r="H1041">
        <f t="shared" si="36"/>
        <v>9</v>
      </c>
      <c r="I1041">
        <f t="shared" si="37"/>
        <v>2021</v>
      </c>
    </row>
    <row r="1042" spans="1:9" x14ac:dyDescent="0.3">
      <c r="A1042" s="1">
        <v>44457</v>
      </c>
      <c r="B1042" t="s">
        <v>83</v>
      </c>
      <c r="G1042">
        <v>6600</v>
      </c>
      <c r="H1042">
        <f t="shared" si="36"/>
        <v>9</v>
      </c>
      <c r="I1042">
        <f t="shared" si="37"/>
        <v>2021</v>
      </c>
    </row>
    <row r="1043" spans="1:9" x14ac:dyDescent="0.3">
      <c r="A1043" s="1">
        <v>44457</v>
      </c>
      <c r="B1043" t="s">
        <v>83</v>
      </c>
      <c r="C1043" t="s">
        <v>40</v>
      </c>
      <c r="D1043" t="s">
        <v>9</v>
      </c>
      <c r="E1043" t="s">
        <v>104</v>
      </c>
      <c r="F1043">
        <v>6600</v>
      </c>
      <c r="H1043">
        <f t="shared" si="36"/>
        <v>9</v>
      </c>
      <c r="I1043">
        <f t="shared" si="37"/>
        <v>2021</v>
      </c>
    </row>
    <row r="1044" spans="1:9" x14ac:dyDescent="0.3">
      <c r="A1044" s="1">
        <v>44457</v>
      </c>
      <c r="B1044" t="s">
        <v>75</v>
      </c>
      <c r="G1044">
        <v>18720</v>
      </c>
      <c r="H1044">
        <f t="shared" si="36"/>
        <v>9</v>
      </c>
      <c r="I1044">
        <f t="shared" si="37"/>
        <v>2021</v>
      </c>
    </row>
    <row r="1045" spans="1:9" x14ac:dyDescent="0.3">
      <c r="A1045" s="1">
        <v>44457</v>
      </c>
      <c r="B1045" t="s">
        <v>75</v>
      </c>
      <c r="C1045" t="s">
        <v>40</v>
      </c>
      <c r="D1045" t="s">
        <v>37</v>
      </c>
      <c r="E1045" t="s">
        <v>104</v>
      </c>
      <c r="F1045">
        <v>3300</v>
      </c>
      <c r="H1045">
        <f t="shared" si="36"/>
        <v>9</v>
      </c>
      <c r="I1045">
        <f t="shared" si="37"/>
        <v>2021</v>
      </c>
    </row>
    <row r="1046" spans="1:9" x14ac:dyDescent="0.3">
      <c r="A1046" s="1">
        <v>44457</v>
      </c>
      <c r="B1046" t="s">
        <v>75</v>
      </c>
      <c r="C1046" t="s">
        <v>94</v>
      </c>
      <c r="D1046" t="s">
        <v>180</v>
      </c>
      <c r="E1046" t="s">
        <v>186</v>
      </c>
      <c r="F1046">
        <v>1900</v>
      </c>
      <c r="H1046">
        <f t="shared" si="36"/>
        <v>9</v>
      </c>
      <c r="I1046">
        <f t="shared" si="37"/>
        <v>2021</v>
      </c>
    </row>
    <row r="1047" spans="1:9" x14ac:dyDescent="0.3">
      <c r="A1047" s="1">
        <v>44457</v>
      </c>
      <c r="B1047" t="s">
        <v>75</v>
      </c>
      <c r="C1047" t="s">
        <v>271</v>
      </c>
      <c r="D1047" t="s">
        <v>12</v>
      </c>
      <c r="E1047" t="s">
        <v>347</v>
      </c>
      <c r="F1047">
        <v>5280</v>
      </c>
      <c r="H1047">
        <f t="shared" si="36"/>
        <v>9</v>
      </c>
      <c r="I1047">
        <f t="shared" si="37"/>
        <v>2021</v>
      </c>
    </row>
    <row r="1048" spans="1:9" x14ac:dyDescent="0.3">
      <c r="A1048" s="1">
        <v>44457</v>
      </c>
      <c r="B1048" t="s">
        <v>75</v>
      </c>
      <c r="C1048" t="s">
        <v>22</v>
      </c>
      <c r="D1048" t="s">
        <v>37</v>
      </c>
      <c r="E1048" t="s">
        <v>210</v>
      </c>
      <c r="F1048">
        <v>2780</v>
      </c>
      <c r="H1048">
        <f t="shared" si="36"/>
        <v>9</v>
      </c>
      <c r="I1048">
        <f t="shared" si="37"/>
        <v>2021</v>
      </c>
    </row>
    <row r="1049" spans="1:9" x14ac:dyDescent="0.3">
      <c r="A1049" s="1">
        <v>44457</v>
      </c>
      <c r="B1049" t="s">
        <v>75</v>
      </c>
      <c r="C1049" t="s">
        <v>33</v>
      </c>
      <c r="D1049" t="s">
        <v>37</v>
      </c>
      <c r="E1049" t="s">
        <v>348</v>
      </c>
      <c r="F1049">
        <v>5460</v>
      </c>
      <c r="H1049">
        <f t="shared" si="36"/>
        <v>9</v>
      </c>
      <c r="I1049">
        <f t="shared" si="37"/>
        <v>2021</v>
      </c>
    </row>
    <row r="1050" spans="1:9" x14ac:dyDescent="0.3">
      <c r="A1050" s="1">
        <v>44457</v>
      </c>
      <c r="B1050" t="s">
        <v>193</v>
      </c>
      <c r="G1050">
        <v>27045</v>
      </c>
      <c r="H1050">
        <f t="shared" si="36"/>
        <v>9</v>
      </c>
      <c r="I1050">
        <f t="shared" si="37"/>
        <v>2021</v>
      </c>
    </row>
    <row r="1051" spans="1:9" x14ac:dyDescent="0.3">
      <c r="A1051" s="1">
        <v>44457</v>
      </c>
      <c r="B1051" t="s">
        <v>193</v>
      </c>
      <c r="C1051" t="s">
        <v>33</v>
      </c>
      <c r="D1051" t="s">
        <v>163</v>
      </c>
      <c r="E1051" t="s">
        <v>349</v>
      </c>
      <c r="F1051">
        <v>9915</v>
      </c>
      <c r="H1051">
        <f t="shared" si="36"/>
        <v>9</v>
      </c>
      <c r="I1051">
        <f t="shared" si="37"/>
        <v>2021</v>
      </c>
    </row>
    <row r="1052" spans="1:9" x14ac:dyDescent="0.3">
      <c r="A1052" s="1">
        <v>44457</v>
      </c>
      <c r="B1052" t="s">
        <v>193</v>
      </c>
      <c r="C1052" t="s">
        <v>22</v>
      </c>
      <c r="D1052" t="s">
        <v>15</v>
      </c>
      <c r="E1052" t="s">
        <v>350</v>
      </c>
      <c r="F1052">
        <v>10010</v>
      </c>
      <c r="H1052">
        <f t="shared" si="36"/>
        <v>9</v>
      </c>
      <c r="I1052">
        <f t="shared" si="37"/>
        <v>2021</v>
      </c>
    </row>
    <row r="1053" spans="1:9" x14ac:dyDescent="0.3">
      <c r="A1053" s="1">
        <v>44457</v>
      </c>
      <c r="B1053" t="s">
        <v>193</v>
      </c>
      <c r="C1053" t="s">
        <v>173</v>
      </c>
      <c r="D1053" t="s">
        <v>63</v>
      </c>
      <c r="E1053" t="s">
        <v>351</v>
      </c>
      <c r="F1053">
        <v>7120</v>
      </c>
      <c r="H1053">
        <f t="shared" si="36"/>
        <v>9</v>
      </c>
      <c r="I1053">
        <f t="shared" si="37"/>
        <v>2021</v>
      </c>
    </row>
    <row r="1054" spans="1:9" x14ac:dyDescent="0.3">
      <c r="A1054" s="1">
        <v>44457</v>
      </c>
      <c r="B1054" t="s">
        <v>64</v>
      </c>
      <c r="G1054">
        <v>7840</v>
      </c>
      <c r="H1054">
        <f t="shared" si="36"/>
        <v>9</v>
      </c>
      <c r="I1054">
        <f t="shared" si="37"/>
        <v>2021</v>
      </c>
    </row>
    <row r="1055" spans="1:9" x14ac:dyDescent="0.3">
      <c r="A1055" s="1">
        <v>44457</v>
      </c>
      <c r="B1055" t="s">
        <v>64</v>
      </c>
      <c r="C1055" t="s">
        <v>40</v>
      </c>
      <c r="D1055" t="s">
        <v>37</v>
      </c>
      <c r="E1055" t="s">
        <v>104</v>
      </c>
      <c r="F1055">
        <v>3300</v>
      </c>
      <c r="H1055">
        <f t="shared" si="36"/>
        <v>9</v>
      </c>
      <c r="I1055">
        <f t="shared" si="37"/>
        <v>2021</v>
      </c>
    </row>
    <row r="1056" spans="1:9" x14ac:dyDescent="0.3">
      <c r="A1056" s="1">
        <v>44457</v>
      </c>
      <c r="B1056" t="s">
        <v>64</v>
      </c>
      <c r="C1056" t="s">
        <v>38</v>
      </c>
      <c r="D1056" t="s">
        <v>93</v>
      </c>
      <c r="E1056" t="s">
        <v>13</v>
      </c>
      <c r="F1056">
        <v>1380</v>
      </c>
      <c r="H1056">
        <f t="shared" si="36"/>
        <v>9</v>
      </c>
      <c r="I1056">
        <f t="shared" si="37"/>
        <v>2021</v>
      </c>
    </row>
    <row r="1057" spans="1:9" x14ac:dyDescent="0.3">
      <c r="A1057" s="1">
        <v>44457</v>
      </c>
      <c r="B1057" t="s">
        <v>64</v>
      </c>
      <c r="C1057" t="s">
        <v>324</v>
      </c>
      <c r="D1057" t="s">
        <v>93</v>
      </c>
      <c r="E1057" t="s">
        <v>13</v>
      </c>
      <c r="F1057">
        <v>1380</v>
      </c>
      <c r="H1057">
        <f t="shared" si="36"/>
        <v>9</v>
      </c>
      <c r="I1057">
        <f t="shared" si="37"/>
        <v>2021</v>
      </c>
    </row>
    <row r="1058" spans="1:9" x14ac:dyDescent="0.3">
      <c r="A1058" s="1">
        <v>44457</v>
      </c>
      <c r="B1058" t="s">
        <v>64</v>
      </c>
      <c r="C1058" t="s">
        <v>325</v>
      </c>
      <c r="D1058" t="s">
        <v>93</v>
      </c>
      <c r="E1058" t="s">
        <v>13</v>
      </c>
      <c r="F1058">
        <v>1380</v>
      </c>
      <c r="H1058">
        <f t="shared" si="36"/>
        <v>9</v>
      </c>
      <c r="I1058">
        <f t="shared" si="37"/>
        <v>2021</v>
      </c>
    </row>
    <row r="1059" spans="1:9" x14ac:dyDescent="0.3">
      <c r="A1059" s="1">
        <v>44457</v>
      </c>
      <c r="B1059" t="s">
        <v>64</v>
      </c>
      <c r="C1059" t="s">
        <v>101</v>
      </c>
      <c r="D1059" t="s">
        <v>5</v>
      </c>
      <c r="E1059" t="s">
        <v>156</v>
      </c>
      <c r="F1059">
        <v>400</v>
      </c>
      <c r="H1059">
        <f t="shared" si="36"/>
        <v>9</v>
      </c>
      <c r="I1059">
        <f t="shared" si="37"/>
        <v>2021</v>
      </c>
    </row>
    <row r="1060" spans="1:9" x14ac:dyDescent="0.3">
      <c r="A1060" s="1">
        <v>44457</v>
      </c>
      <c r="B1060" t="s">
        <v>85</v>
      </c>
      <c r="G1060">
        <v>6270</v>
      </c>
      <c r="H1060">
        <f t="shared" si="36"/>
        <v>9</v>
      </c>
      <c r="I1060">
        <f t="shared" si="37"/>
        <v>2021</v>
      </c>
    </row>
    <row r="1061" spans="1:9" x14ac:dyDescent="0.3">
      <c r="A1061" s="1">
        <v>44457</v>
      </c>
      <c r="B1061" t="s">
        <v>85</v>
      </c>
      <c r="C1061" t="s">
        <v>33</v>
      </c>
      <c r="D1061" t="s">
        <v>18</v>
      </c>
      <c r="E1061" t="s">
        <v>164</v>
      </c>
      <c r="F1061">
        <v>3270</v>
      </c>
      <c r="H1061">
        <f t="shared" si="36"/>
        <v>9</v>
      </c>
      <c r="I1061">
        <f t="shared" si="37"/>
        <v>2021</v>
      </c>
    </row>
    <row r="1062" spans="1:9" x14ac:dyDescent="0.3">
      <c r="A1062" s="1">
        <v>44457</v>
      </c>
      <c r="B1062" t="s">
        <v>85</v>
      </c>
      <c r="C1062" t="s">
        <v>338</v>
      </c>
      <c r="D1062" t="s">
        <v>18</v>
      </c>
      <c r="E1062" t="s">
        <v>156</v>
      </c>
      <c r="F1062">
        <v>3000</v>
      </c>
      <c r="H1062">
        <f t="shared" si="36"/>
        <v>9</v>
      </c>
      <c r="I1062">
        <f t="shared" si="37"/>
        <v>2021</v>
      </c>
    </row>
    <row r="1063" spans="1:9" x14ac:dyDescent="0.3">
      <c r="A1063" s="1">
        <v>44457</v>
      </c>
      <c r="B1063" t="s">
        <v>48</v>
      </c>
      <c r="G1063">
        <v>6600</v>
      </c>
      <c r="H1063">
        <f t="shared" si="36"/>
        <v>9</v>
      </c>
      <c r="I1063">
        <f t="shared" si="37"/>
        <v>2021</v>
      </c>
    </row>
    <row r="1064" spans="1:9" x14ac:dyDescent="0.3">
      <c r="A1064" s="1">
        <v>44457</v>
      </c>
      <c r="B1064" t="s">
        <v>48</v>
      </c>
      <c r="C1064" t="s">
        <v>40</v>
      </c>
      <c r="D1064" t="s">
        <v>9</v>
      </c>
      <c r="E1064" t="s">
        <v>104</v>
      </c>
      <c r="F1064">
        <v>6600</v>
      </c>
      <c r="H1064">
        <f t="shared" si="36"/>
        <v>9</v>
      </c>
      <c r="I1064">
        <f t="shared" si="37"/>
        <v>2021</v>
      </c>
    </row>
    <row r="1065" spans="1:9" x14ac:dyDescent="0.3">
      <c r="A1065" s="1">
        <v>44458</v>
      </c>
      <c r="B1065" t="s">
        <v>352</v>
      </c>
      <c r="G1065">
        <v>1360</v>
      </c>
      <c r="H1065">
        <f t="shared" si="36"/>
        <v>9</v>
      </c>
      <c r="I1065">
        <f t="shared" si="37"/>
        <v>2021</v>
      </c>
    </row>
    <row r="1066" spans="1:9" x14ac:dyDescent="0.3">
      <c r="A1066" s="1">
        <v>44458</v>
      </c>
      <c r="B1066" t="s">
        <v>352</v>
      </c>
      <c r="C1066" t="s">
        <v>211</v>
      </c>
      <c r="D1066" t="s">
        <v>12</v>
      </c>
      <c r="E1066" t="s">
        <v>79</v>
      </c>
      <c r="F1066">
        <v>840</v>
      </c>
      <c r="H1066">
        <f t="shared" si="36"/>
        <v>9</v>
      </c>
      <c r="I1066">
        <f t="shared" si="37"/>
        <v>2021</v>
      </c>
    </row>
    <row r="1067" spans="1:9" x14ac:dyDescent="0.3">
      <c r="A1067" s="1">
        <v>44458</v>
      </c>
      <c r="B1067" t="s">
        <v>352</v>
      </c>
      <c r="C1067" t="s">
        <v>338</v>
      </c>
      <c r="D1067" t="s">
        <v>5</v>
      </c>
      <c r="E1067" t="s">
        <v>31</v>
      </c>
      <c r="F1067">
        <v>520</v>
      </c>
      <c r="H1067">
        <f t="shared" si="36"/>
        <v>9</v>
      </c>
      <c r="I1067">
        <f t="shared" si="37"/>
        <v>2021</v>
      </c>
    </row>
    <row r="1068" spans="1:9" x14ac:dyDescent="0.3">
      <c r="A1068" s="1">
        <v>44459</v>
      </c>
      <c r="B1068" t="s">
        <v>88</v>
      </c>
      <c r="G1068">
        <v>177260</v>
      </c>
      <c r="H1068">
        <f t="shared" si="36"/>
        <v>9</v>
      </c>
      <c r="I1068">
        <f t="shared" si="37"/>
        <v>2021</v>
      </c>
    </row>
    <row r="1069" spans="1:9" x14ac:dyDescent="0.3">
      <c r="A1069" s="1">
        <v>44459</v>
      </c>
      <c r="B1069" t="s">
        <v>88</v>
      </c>
      <c r="C1069" t="s">
        <v>98</v>
      </c>
      <c r="D1069" t="s">
        <v>353</v>
      </c>
      <c r="E1069" t="s">
        <v>354</v>
      </c>
      <c r="F1069">
        <v>151960</v>
      </c>
      <c r="H1069">
        <f t="shared" si="36"/>
        <v>9</v>
      </c>
      <c r="I1069">
        <f t="shared" si="37"/>
        <v>2021</v>
      </c>
    </row>
    <row r="1070" spans="1:9" x14ac:dyDescent="0.3">
      <c r="A1070" s="1">
        <v>44459</v>
      </c>
      <c r="B1070" t="s">
        <v>88</v>
      </c>
      <c r="C1070" t="s">
        <v>108</v>
      </c>
      <c r="D1070" t="s">
        <v>9</v>
      </c>
      <c r="E1070" t="s">
        <v>31</v>
      </c>
      <c r="F1070">
        <v>10400</v>
      </c>
      <c r="H1070">
        <f t="shared" si="36"/>
        <v>9</v>
      </c>
      <c r="I1070">
        <f t="shared" si="37"/>
        <v>2021</v>
      </c>
    </row>
    <row r="1071" spans="1:9" x14ac:dyDescent="0.3">
      <c r="A1071" s="1">
        <v>44459</v>
      </c>
      <c r="B1071" t="s">
        <v>88</v>
      </c>
      <c r="C1071" t="s">
        <v>134</v>
      </c>
      <c r="D1071" t="s">
        <v>25</v>
      </c>
      <c r="E1071" t="s">
        <v>31</v>
      </c>
      <c r="F1071">
        <v>2600</v>
      </c>
      <c r="H1071">
        <f t="shared" si="36"/>
        <v>9</v>
      </c>
      <c r="I1071">
        <f t="shared" si="37"/>
        <v>2021</v>
      </c>
    </row>
    <row r="1072" spans="1:9" x14ac:dyDescent="0.3">
      <c r="A1072" s="1">
        <v>44459</v>
      </c>
      <c r="B1072" t="s">
        <v>88</v>
      </c>
      <c r="C1072" t="s">
        <v>133</v>
      </c>
      <c r="D1072" t="s">
        <v>9</v>
      </c>
      <c r="E1072" t="s">
        <v>31</v>
      </c>
      <c r="F1072">
        <v>10400</v>
      </c>
      <c r="H1072">
        <f t="shared" si="36"/>
        <v>9</v>
      </c>
      <c r="I1072">
        <f t="shared" si="37"/>
        <v>2021</v>
      </c>
    </row>
    <row r="1073" spans="1:9" x14ac:dyDescent="0.3">
      <c r="A1073" s="1">
        <v>44459</v>
      </c>
      <c r="B1073" t="s">
        <v>88</v>
      </c>
      <c r="C1073" t="s">
        <v>146</v>
      </c>
      <c r="D1073" t="s">
        <v>25</v>
      </c>
      <c r="E1073" t="s">
        <v>31</v>
      </c>
      <c r="F1073">
        <v>2600</v>
      </c>
      <c r="H1073">
        <f t="shared" ref="H1073:H1131" si="38">MONTH(A1073)</f>
        <v>9</v>
      </c>
      <c r="I1073">
        <f t="shared" ref="I1073:I1131" si="39">YEAR(A1073)</f>
        <v>2021</v>
      </c>
    </row>
    <row r="1074" spans="1:9" x14ac:dyDescent="0.3">
      <c r="A1074" s="1">
        <v>44459</v>
      </c>
      <c r="B1074" t="s">
        <v>88</v>
      </c>
      <c r="C1074" t="s">
        <v>148</v>
      </c>
      <c r="D1074" t="s">
        <v>355</v>
      </c>
      <c r="E1074" t="s">
        <v>343</v>
      </c>
      <c r="H1074">
        <f t="shared" si="38"/>
        <v>9</v>
      </c>
      <c r="I1074">
        <f t="shared" si="39"/>
        <v>2021</v>
      </c>
    </row>
    <row r="1075" spans="1:9" x14ac:dyDescent="0.3">
      <c r="A1075" s="1">
        <v>44459</v>
      </c>
      <c r="B1075" t="s">
        <v>24</v>
      </c>
      <c r="G1075">
        <v>-700</v>
      </c>
      <c r="H1075">
        <f t="shared" si="38"/>
        <v>9</v>
      </c>
      <c r="I1075">
        <f t="shared" si="39"/>
        <v>2021</v>
      </c>
    </row>
    <row r="1076" spans="1:9" x14ac:dyDescent="0.3">
      <c r="A1076" s="1">
        <v>44459</v>
      </c>
      <c r="B1076" t="s">
        <v>248</v>
      </c>
      <c r="G1076">
        <v>5400</v>
      </c>
      <c r="H1076">
        <f t="shared" si="38"/>
        <v>9</v>
      </c>
      <c r="I1076">
        <f t="shared" si="39"/>
        <v>2021</v>
      </c>
    </row>
    <row r="1077" spans="1:9" x14ac:dyDescent="0.3">
      <c r="A1077" s="1">
        <v>44459</v>
      </c>
      <c r="B1077" t="s">
        <v>248</v>
      </c>
      <c r="C1077" t="s">
        <v>98</v>
      </c>
      <c r="D1077" t="s">
        <v>37</v>
      </c>
      <c r="E1077" t="s">
        <v>99</v>
      </c>
      <c r="F1077">
        <v>5400</v>
      </c>
      <c r="H1077">
        <f t="shared" si="38"/>
        <v>9</v>
      </c>
      <c r="I1077">
        <f t="shared" si="39"/>
        <v>2021</v>
      </c>
    </row>
    <row r="1078" spans="1:9" x14ac:dyDescent="0.3">
      <c r="A1078" s="1">
        <v>44460</v>
      </c>
      <c r="B1078" t="s">
        <v>141</v>
      </c>
      <c r="G1078">
        <v>2700</v>
      </c>
      <c r="H1078">
        <f t="shared" si="38"/>
        <v>9</v>
      </c>
      <c r="I1078">
        <f t="shared" si="39"/>
        <v>2021</v>
      </c>
    </row>
    <row r="1079" spans="1:9" x14ac:dyDescent="0.3">
      <c r="A1079" s="1">
        <v>44460</v>
      </c>
      <c r="B1079" t="s">
        <v>141</v>
      </c>
      <c r="C1079" t="s">
        <v>98</v>
      </c>
      <c r="D1079" t="s">
        <v>25</v>
      </c>
      <c r="E1079" t="s">
        <v>99</v>
      </c>
      <c r="F1079">
        <v>2700</v>
      </c>
      <c r="H1079">
        <f t="shared" si="38"/>
        <v>9</v>
      </c>
      <c r="I1079">
        <f t="shared" si="39"/>
        <v>2021</v>
      </c>
    </row>
    <row r="1080" spans="1:9" x14ac:dyDescent="0.3">
      <c r="A1080" s="1">
        <v>44460</v>
      </c>
      <c r="B1080" t="s">
        <v>97</v>
      </c>
      <c r="G1080">
        <v>2750</v>
      </c>
      <c r="H1080">
        <f t="shared" si="38"/>
        <v>9</v>
      </c>
      <c r="I1080">
        <f t="shared" si="39"/>
        <v>2021</v>
      </c>
    </row>
    <row r="1081" spans="1:9" x14ac:dyDescent="0.3">
      <c r="A1081" s="1">
        <v>44460</v>
      </c>
      <c r="B1081" t="s">
        <v>97</v>
      </c>
      <c r="C1081" t="s">
        <v>98</v>
      </c>
      <c r="D1081" t="s">
        <v>25</v>
      </c>
      <c r="E1081" t="s">
        <v>69</v>
      </c>
      <c r="F1081">
        <v>2750</v>
      </c>
      <c r="H1081">
        <f t="shared" si="38"/>
        <v>9</v>
      </c>
      <c r="I1081">
        <f t="shared" si="39"/>
        <v>2021</v>
      </c>
    </row>
    <row r="1082" spans="1:9" x14ac:dyDescent="0.3">
      <c r="A1082" s="1">
        <v>44460</v>
      </c>
      <c r="B1082" t="s">
        <v>234</v>
      </c>
      <c r="G1082">
        <v>19235</v>
      </c>
      <c r="H1082">
        <f t="shared" si="38"/>
        <v>9</v>
      </c>
      <c r="I1082">
        <f t="shared" si="39"/>
        <v>2021</v>
      </c>
    </row>
    <row r="1083" spans="1:9" x14ac:dyDescent="0.3">
      <c r="A1083" s="1">
        <v>44460</v>
      </c>
      <c r="B1083" t="s">
        <v>234</v>
      </c>
      <c r="C1083" t="s">
        <v>40</v>
      </c>
      <c r="D1083" t="s">
        <v>37</v>
      </c>
      <c r="E1083" t="s">
        <v>104</v>
      </c>
      <c r="F1083">
        <v>3300</v>
      </c>
      <c r="H1083">
        <f t="shared" si="38"/>
        <v>9</v>
      </c>
      <c r="I1083">
        <f t="shared" si="39"/>
        <v>2021</v>
      </c>
    </row>
    <row r="1084" spans="1:9" x14ac:dyDescent="0.3">
      <c r="A1084" s="1">
        <v>44460</v>
      </c>
      <c r="B1084" t="s">
        <v>234</v>
      </c>
      <c r="C1084" t="s">
        <v>94</v>
      </c>
      <c r="D1084" t="s">
        <v>251</v>
      </c>
      <c r="E1084" t="s">
        <v>186</v>
      </c>
      <c r="F1084">
        <v>3800</v>
      </c>
      <c r="H1084">
        <f t="shared" si="38"/>
        <v>9</v>
      </c>
      <c r="I1084">
        <f t="shared" si="39"/>
        <v>2021</v>
      </c>
    </row>
    <row r="1085" spans="1:9" x14ac:dyDescent="0.3">
      <c r="A1085" s="1">
        <v>44460</v>
      </c>
      <c r="B1085" t="s">
        <v>234</v>
      </c>
      <c r="C1085" t="s">
        <v>98</v>
      </c>
      <c r="D1085" t="s">
        <v>61</v>
      </c>
      <c r="E1085" t="s">
        <v>6</v>
      </c>
      <c r="F1085">
        <v>7875</v>
      </c>
      <c r="H1085">
        <f t="shared" si="38"/>
        <v>9</v>
      </c>
      <c r="I1085">
        <f t="shared" si="39"/>
        <v>2021</v>
      </c>
    </row>
    <row r="1086" spans="1:9" x14ac:dyDescent="0.3">
      <c r="A1086" s="1">
        <v>44460</v>
      </c>
      <c r="B1086" t="s">
        <v>234</v>
      </c>
      <c r="C1086" t="s">
        <v>38</v>
      </c>
      <c r="D1086" t="s">
        <v>23</v>
      </c>
      <c r="E1086" t="s">
        <v>13</v>
      </c>
      <c r="F1086">
        <v>1035</v>
      </c>
      <c r="H1086">
        <f t="shared" si="38"/>
        <v>9</v>
      </c>
      <c r="I1086">
        <f t="shared" si="39"/>
        <v>2021</v>
      </c>
    </row>
    <row r="1087" spans="1:9" x14ac:dyDescent="0.3">
      <c r="A1087" s="1">
        <v>44460</v>
      </c>
      <c r="B1087" t="s">
        <v>234</v>
      </c>
      <c r="C1087" t="s">
        <v>293</v>
      </c>
      <c r="D1087" t="s">
        <v>61</v>
      </c>
      <c r="E1087" t="s">
        <v>214</v>
      </c>
      <c r="F1087">
        <v>3225</v>
      </c>
      <c r="H1087">
        <f t="shared" si="38"/>
        <v>9</v>
      </c>
      <c r="I1087">
        <f t="shared" si="39"/>
        <v>2021</v>
      </c>
    </row>
    <row r="1088" spans="1:9" x14ac:dyDescent="0.3">
      <c r="A1088" s="1">
        <v>44460</v>
      </c>
      <c r="B1088" t="s">
        <v>3</v>
      </c>
      <c r="G1088">
        <v>9690</v>
      </c>
      <c r="H1088">
        <f t="shared" si="38"/>
        <v>9</v>
      </c>
      <c r="I1088">
        <f t="shared" si="39"/>
        <v>2021</v>
      </c>
    </row>
    <row r="1089" spans="1:9" x14ac:dyDescent="0.3">
      <c r="A1089" s="1">
        <v>44460</v>
      </c>
      <c r="B1089" t="s">
        <v>3</v>
      </c>
      <c r="C1089" t="s">
        <v>98</v>
      </c>
      <c r="D1089" t="s">
        <v>37</v>
      </c>
      <c r="E1089" t="s">
        <v>31</v>
      </c>
      <c r="F1089">
        <v>5200</v>
      </c>
      <c r="H1089">
        <f t="shared" si="38"/>
        <v>9</v>
      </c>
      <c r="I1089">
        <f t="shared" si="39"/>
        <v>2021</v>
      </c>
    </row>
    <row r="1090" spans="1:9" x14ac:dyDescent="0.3">
      <c r="A1090" s="1">
        <v>44460</v>
      </c>
      <c r="B1090" t="s">
        <v>3</v>
      </c>
      <c r="C1090" t="s">
        <v>133</v>
      </c>
      <c r="D1090" t="s">
        <v>5</v>
      </c>
      <c r="E1090" t="s">
        <v>99</v>
      </c>
      <c r="F1090">
        <v>540</v>
      </c>
      <c r="H1090">
        <f t="shared" si="38"/>
        <v>9</v>
      </c>
      <c r="I1090">
        <f t="shared" si="39"/>
        <v>2021</v>
      </c>
    </row>
    <row r="1091" spans="1:9" x14ac:dyDescent="0.3">
      <c r="A1091" s="1">
        <v>44460</v>
      </c>
      <c r="B1091" t="s">
        <v>3</v>
      </c>
      <c r="C1091" t="s">
        <v>40</v>
      </c>
      <c r="D1091" t="s">
        <v>25</v>
      </c>
      <c r="E1091" t="s">
        <v>104</v>
      </c>
      <c r="F1091">
        <v>1650</v>
      </c>
      <c r="H1091">
        <f t="shared" si="38"/>
        <v>9</v>
      </c>
      <c r="I1091">
        <f t="shared" si="39"/>
        <v>2021</v>
      </c>
    </row>
    <row r="1092" spans="1:9" x14ac:dyDescent="0.3">
      <c r="A1092" s="1">
        <v>44460</v>
      </c>
      <c r="B1092" t="s">
        <v>3</v>
      </c>
      <c r="C1092" t="s">
        <v>94</v>
      </c>
      <c r="D1092" t="s">
        <v>137</v>
      </c>
      <c r="E1092" t="s">
        <v>132</v>
      </c>
      <c r="F1092">
        <v>400</v>
      </c>
      <c r="H1092">
        <f t="shared" si="38"/>
        <v>9</v>
      </c>
      <c r="I1092">
        <f t="shared" si="39"/>
        <v>2021</v>
      </c>
    </row>
    <row r="1093" spans="1:9" x14ac:dyDescent="0.3">
      <c r="A1093" s="1">
        <v>44460</v>
      </c>
      <c r="B1093" t="s">
        <v>3</v>
      </c>
      <c r="C1093" t="s">
        <v>40</v>
      </c>
      <c r="D1093" t="s">
        <v>5</v>
      </c>
      <c r="E1093" t="s">
        <v>104</v>
      </c>
      <c r="F1093">
        <v>330</v>
      </c>
      <c r="H1093">
        <f t="shared" si="38"/>
        <v>9</v>
      </c>
      <c r="I1093">
        <f t="shared" si="39"/>
        <v>2021</v>
      </c>
    </row>
    <row r="1094" spans="1:9" x14ac:dyDescent="0.3">
      <c r="A1094" s="1">
        <v>44460</v>
      </c>
      <c r="B1094" t="s">
        <v>3</v>
      </c>
      <c r="C1094" t="s">
        <v>40</v>
      </c>
      <c r="D1094" t="s">
        <v>5</v>
      </c>
      <c r="E1094" t="s">
        <v>118</v>
      </c>
      <c r="F1094">
        <v>340</v>
      </c>
      <c r="H1094">
        <f t="shared" si="38"/>
        <v>9</v>
      </c>
      <c r="I1094">
        <f t="shared" si="39"/>
        <v>2021</v>
      </c>
    </row>
    <row r="1095" spans="1:9" x14ac:dyDescent="0.3">
      <c r="A1095" s="1">
        <v>44460</v>
      </c>
      <c r="B1095" t="s">
        <v>3</v>
      </c>
      <c r="C1095" t="s">
        <v>247</v>
      </c>
      <c r="D1095" t="s">
        <v>5</v>
      </c>
      <c r="E1095" t="s">
        <v>109</v>
      </c>
      <c r="F1095">
        <v>700</v>
      </c>
      <c r="H1095">
        <f t="shared" si="38"/>
        <v>9</v>
      </c>
      <c r="I1095">
        <f t="shared" si="39"/>
        <v>2021</v>
      </c>
    </row>
    <row r="1096" spans="1:9" x14ac:dyDescent="0.3">
      <c r="A1096" s="1">
        <v>44460</v>
      </c>
      <c r="B1096" t="s">
        <v>3</v>
      </c>
      <c r="C1096" t="s">
        <v>98</v>
      </c>
      <c r="D1096" t="s">
        <v>5</v>
      </c>
      <c r="E1096" t="s">
        <v>26</v>
      </c>
      <c r="F1096">
        <v>530</v>
      </c>
      <c r="H1096">
        <f t="shared" si="38"/>
        <v>9</v>
      </c>
      <c r="I1096">
        <f t="shared" si="39"/>
        <v>2021</v>
      </c>
    </row>
    <row r="1097" spans="1:9" x14ac:dyDescent="0.3">
      <c r="A1097" s="1">
        <v>44460</v>
      </c>
      <c r="B1097" t="s">
        <v>356</v>
      </c>
      <c r="G1097">
        <v>2178</v>
      </c>
      <c r="H1097">
        <f t="shared" si="38"/>
        <v>9</v>
      </c>
      <c r="I1097">
        <f t="shared" si="39"/>
        <v>2021</v>
      </c>
    </row>
    <row r="1098" spans="1:9" x14ac:dyDescent="0.3">
      <c r="A1098" s="1">
        <v>44460</v>
      </c>
      <c r="B1098" t="s">
        <v>356</v>
      </c>
      <c r="C1098" t="s">
        <v>33</v>
      </c>
      <c r="D1098" t="s">
        <v>12</v>
      </c>
      <c r="E1098" t="s">
        <v>99</v>
      </c>
      <c r="F1098">
        <v>1080</v>
      </c>
      <c r="H1098">
        <f t="shared" si="38"/>
        <v>9</v>
      </c>
      <c r="I1098">
        <f t="shared" si="39"/>
        <v>2021</v>
      </c>
    </row>
    <row r="1099" spans="1:9" x14ac:dyDescent="0.3">
      <c r="A1099" s="1">
        <v>44460</v>
      </c>
      <c r="B1099" t="s">
        <v>356</v>
      </c>
      <c r="C1099" t="s">
        <v>22</v>
      </c>
      <c r="D1099" t="s">
        <v>93</v>
      </c>
      <c r="E1099" t="s">
        <v>303</v>
      </c>
      <c r="F1099">
        <v>1098</v>
      </c>
      <c r="H1099">
        <f t="shared" si="38"/>
        <v>9</v>
      </c>
      <c r="I1099">
        <f t="shared" si="39"/>
        <v>2021</v>
      </c>
    </row>
    <row r="1100" spans="1:9" x14ac:dyDescent="0.3">
      <c r="A1100" s="1">
        <v>44460</v>
      </c>
      <c r="B1100" t="s">
        <v>47</v>
      </c>
      <c r="G1100">
        <v>6180</v>
      </c>
      <c r="H1100">
        <f t="shared" si="38"/>
        <v>9</v>
      </c>
      <c r="I1100">
        <f t="shared" si="39"/>
        <v>2021</v>
      </c>
    </row>
    <row r="1101" spans="1:9" x14ac:dyDescent="0.3">
      <c r="A1101" s="1">
        <v>44460</v>
      </c>
      <c r="B1101" t="s">
        <v>47</v>
      </c>
      <c r="C1101" t="s">
        <v>338</v>
      </c>
      <c r="D1101" t="s">
        <v>16</v>
      </c>
      <c r="E1101" t="s">
        <v>81</v>
      </c>
      <c r="F1101">
        <v>6180</v>
      </c>
      <c r="H1101">
        <f t="shared" si="38"/>
        <v>9</v>
      </c>
      <c r="I1101">
        <f t="shared" si="39"/>
        <v>2021</v>
      </c>
    </row>
    <row r="1102" spans="1:9" x14ac:dyDescent="0.3">
      <c r="A1102" s="1">
        <v>44460</v>
      </c>
      <c r="B1102" t="s">
        <v>82</v>
      </c>
      <c r="G1102">
        <v>1650</v>
      </c>
      <c r="H1102">
        <f t="shared" si="38"/>
        <v>9</v>
      </c>
      <c r="I1102">
        <f t="shared" si="39"/>
        <v>2021</v>
      </c>
    </row>
    <row r="1103" spans="1:9" x14ac:dyDescent="0.3">
      <c r="A1103" s="1">
        <v>44460</v>
      </c>
      <c r="B1103" t="s">
        <v>82</v>
      </c>
      <c r="C1103" t="s">
        <v>40</v>
      </c>
      <c r="D1103" t="s">
        <v>25</v>
      </c>
      <c r="E1103" t="s">
        <v>104</v>
      </c>
      <c r="F1103">
        <v>1650</v>
      </c>
      <c r="H1103">
        <f t="shared" si="38"/>
        <v>9</v>
      </c>
      <c r="I1103">
        <f t="shared" si="39"/>
        <v>2021</v>
      </c>
    </row>
    <row r="1104" spans="1:9" x14ac:dyDescent="0.3">
      <c r="A1104" s="1">
        <v>44460</v>
      </c>
      <c r="B1104" t="s">
        <v>234</v>
      </c>
      <c r="G1104">
        <v>5250</v>
      </c>
      <c r="H1104">
        <f t="shared" si="38"/>
        <v>9</v>
      </c>
      <c r="I1104">
        <f t="shared" si="39"/>
        <v>2021</v>
      </c>
    </row>
    <row r="1105" spans="1:9" x14ac:dyDescent="0.3">
      <c r="A1105" s="1">
        <v>44460</v>
      </c>
      <c r="B1105" t="s">
        <v>234</v>
      </c>
      <c r="C1105" t="s">
        <v>98</v>
      </c>
      <c r="D1105" t="s">
        <v>37</v>
      </c>
      <c r="E1105" t="s">
        <v>6</v>
      </c>
      <c r="F1105">
        <v>5250</v>
      </c>
      <c r="H1105">
        <f t="shared" si="38"/>
        <v>9</v>
      </c>
      <c r="I1105">
        <f t="shared" si="39"/>
        <v>2021</v>
      </c>
    </row>
    <row r="1106" spans="1:9" x14ac:dyDescent="0.3">
      <c r="A1106" s="1">
        <v>44463</v>
      </c>
      <c r="B1106" t="s">
        <v>28</v>
      </c>
      <c r="G1106">
        <v>18315</v>
      </c>
      <c r="H1106">
        <f t="shared" si="38"/>
        <v>9</v>
      </c>
      <c r="I1106">
        <f t="shared" si="39"/>
        <v>2021</v>
      </c>
    </row>
    <row r="1107" spans="1:9" x14ac:dyDescent="0.3">
      <c r="A1107" s="1">
        <v>44463</v>
      </c>
      <c r="B1107" t="s">
        <v>28</v>
      </c>
      <c r="C1107" t="s">
        <v>40</v>
      </c>
      <c r="D1107" t="s">
        <v>9</v>
      </c>
      <c r="E1107" t="s">
        <v>104</v>
      </c>
      <c r="F1107">
        <v>6600</v>
      </c>
      <c r="H1107">
        <f t="shared" si="38"/>
        <v>9</v>
      </c>
      <c r="I1107">
        <f t="shared" si="39"/>
        <v>2021</v>
      </c>
    </row>
    <row r="1108" spans="1:9" x14ac:dyDescent="0.3">
      <c r="A1108" s="1">
        <v>44463</v>
      </c>
      <c r="B1108" t="s">
        <v>28</v>
      </c>
      <c r="C1108" t="s">
        <v>98</v>
      </c>
      <c r="D1108" t="s">
        <v>37</v>
      </c>
      <c r="E1108" t="s">
        <v>6</v>
      </c>
      <c r="F1108">
        <v>5250</v>
      </c>
      <c r="H1108">
        <f t="shared" si="38"/>
        <v>9</v>
      </c>
      <c r="I1108">
        <f t="shared" si="39"/>
        <v>2021</v>
      </c>
    </row>
    <row r="1109" spans="1:9" x14ac:dyDescent="0.3">
      <c r="A1109" s="1">
        <v>44463</v>
      </c>
      <c r="B1109" t="s">
        <v>28</v>
      </c>
      <c r="C1109" t="s">
        <v>325</v>
      </c>
      <c r="D1109" t="s">
        <v>59</v>
      </c>
      <c r="E1109" t="s">
        <v>13</v>
      </c>
      <c r="F1109">
        <v>2760</v>
      </c>
      <c r="H1109">
        <f t="shared" si="38"/>
        <v>9</v>
      </c>
      <c r="I1109">
        <f t="shared" si="39"/>
        <v>2021</v>
      </c>
    </row>
    <row r="1110" spans="1:9" x14ac:dyDescent="0.3">
      <c r="A1110" s="1">
        <v>44463</v>
      </c>
      <c r="B1110" t="s">
        <v>28</v>
      </c>
      <c r="C1110" t="s">
        <v>324</v>
      </c>
      <c r="D1110" t="s">
        <v>93</v>
      </c>
      <c r="E1110" t="s">
        <v>13</v>
      </c>
      <c r="F1110">
        <v>1380</v>
      </c>
      <c r="H1110">
        <f t="shared" si="38"/>
        <v>9</v>
      </c>
      <c r="I1110">
        <f t="shared" si="39"/>
        <v>2021</v>
      </c>
    </row>
    <row r="1111" spans="1:9" x14ac:dyDescent="0.3">
      <c r="A1111" s="1">
        <v>44463</v>
      </c>
      <c r="B1111" t="s">
        <v>28</v>
      </c>
      <c r="C1111" t="s">
        <v>11</v>
      </c>
      <c r="D1111" t="s">
        <v>25</v>
      </c>
      <c r="E1111" t="s">
        <v>13</v>
      </c>
      <c r="F1111">
        <v>1725</v>
      </c>
      <c r="H1111">
        <f t="shared" si="38"/>
        <v>9</v>
      </c>
      <c r="I1111">
        <f t="shared" si="39"/>
        <v>2021</v>
      </c>
    </row>
    <row r="1112" spans="1:9" x14ac:dyDescent="0.3">
      <c r="A1112" s="1">
        <v>44463</v>
      </c>
      <c r="B1112" t="s">
        <v>28</v>
      </c>
      <c r="C1112" t="s">
        <v>225</v>
      </c>
      <c r="D1112" t="s">
        <v>12</v>
      </c>
      <c r="E1112" t="s">
        <v>119</v>
      </c>
      <c r="F1112">
        <v>600</v>
      </c>
      <c r="H1112">
        <f t="shared" si="38"/>
        <v>9</v>
      </c>
      <c r="I1112">
        <f t="shared" si="39"/>
        <v>2021</v>
      </c>
    </row>
    <row r="1113" spans="1:9" x14ac:dyDescent="0.3">
      <c r="A1113" s="1">
        <v>44467</v>
      </c>
      <c r="B1113" t="s">
        <v>3</v>
      </c>
      <c r="G1113">
        <v>3980</v>
      </c>
      <c r="H1113">
        <f t="shared" si="38"/>
        <v>9</v>
      </c>
      <c r="I1113">
        <f t="shared" si="39"/>
        <v>2021</v>
      </c>
    </row>
    <row r="1114" spans="1:9" x14ac:dyDescent="0.3">
      <c r="A1114" s="1">
        <v>44467</v>
      </c>
      <c r="B1114" t="s">
        <v>3</v>
      </c>
      <c r="C1114" t="s">
        <v>98</v>
      </c>
      <c r="D1114" t="s">
        <v>25</v>
      </c>
      <c r="E1114" t="s">
        <v>31</v>
      </c>
      <c r="F1114">
        <v>2600</v>
      </c>
      <c r="H1114">
        <f t="shared" si="38"/>
        <v>9</v>
      </c>
      <c r="I1114">
        <f t="shared" si="39"/>
        <v>2021</v>
      </c>
    </row>
    <row r="1115" spans="1:9" x14ac:dyDescent="0.3">
      <c r="A1115" s="1">
        <v>44467</v>
      </c>
      <c r="B1115" t="s">
        <v>3</v>
      </c>
      <c r="C1115" t="s">
        <v>325</v>
      </c>
      <c r="D1115" t="s">
        <v>93</v>
      </c>
      <c r="E1115" t="s">
        <v>13</v>
      </c>
      <c r="F1115">
        <v>1380</v>
      </c>
      <c r="H1115">
        <f t="shared" si="38"/>
        <v>9</v>
      </c>
      <c r="I1115">
        <f t="shared" si="39"/>
        <v>2021</v>
      </c>
    </row>
    <row r="1116" spans="1:9" x14ac:dyDescent="0.3">
      <c r="A1116" s="1">
        <v>44467</v>
      </c>
      <c r="B1116" t="s">
        <v>3</v>
      </c>
      <c r="G1116">
        <v>2600</v>
      </c>
      <c r="H1116">
        <f t="shared" si="38"/>
        <v>9</v>
      </c>
      <c r="I1116">
        <f t="shared" si="39"/>
        <v>2021</v>
      </c>
    </row>
    <row r="1117" spans="1:9" x14ac:dyDescent="0.3">
      <c r="A1117" s="1">
        <v>44467</v>
      </c>
      <c r="B1117" t="s">
        <v>3</v>
      </c>
      <c r="C1117" t="s">
        <v>98</v>
      </c>
      <c r="D1117" t="s">
        <v>25</v>
      </c>
      <c r="E1117" t="s">
        <v>31</v>
      </c>
      <c r="F1117">
        <v>2600</v>
      </c>
      <c r="H1117">
        <f t="shared" si="38"/>
        <v>9</v>
      </c>
      <c r="I1117">
        <f t="shared" si="39"/>
        <v>2021</v>
      </c>
    </row>
    <row r="1118" spans="1:9" x14ac:dyDescent="0.3">
      <c r="A1118" s="1">
        <v>44467</v>
      </c>
      <c r="B1118" t="s">
        <v>234</v>
      </c>
      <c r="G1118">
        <v>15390</v>
      </c>
      <c r="H1118">
        <f t="shared" si="38"/>
        <v>9</v>
      </c>
      <c r="I1118">
        <f t="shared" si="39"/>
        <v>2021</v>
      </c>
    </row>
    <row r="1119" spans="1:9" x14ac:dyDescent="0.3">
      <c r="A1119" s="1">
        <v>44467</v>
      </c>
      <c r="B1119" t="s">
        <v>234</v>
      </c>
      <c r="C1119" t="s">
        <v>94</v>
      </c>
      <c r="D1119" t="s">
        <v>244</v>
      </c>
      <c r="E1119" t="s">
        <v>186</v>
      </c>
      <c r="F1119">
        <v>5700</v>
      </c>
      <c r="H1119">
        <f t="shared" si="38"/>
        <v>9</v>
      </c>
      <c r="I1119">
        <f t="shared" si="39"/>
        <v>2021</v>
      </c>
    </row>
    <row r="1120" spans="1:9" x14ac:dyDescent="0.3">
      <c r="A1120" s="1">
        <v>44467</v>
      </c>
      <c r="B1120" t="s">
        <v>234</v>
      </c>
      <c r="C1120" t="s">
        <v>40</v>
      </c>
      <c r="D1120" t="s">
        <v>80</v>
      </c>
      <c r="E1120" t="s">
        <v>104</v>
      </c>
      <c r="F1120">
        <v>8250</v>
      </c>
      <c r="H1120">
        <f t="shared" si="38"/>
        <v>9</v>
      </c>
      <c r="I1120">
        <f t="shared" si="39"/>
        <v>2021</v>
      </c>
    </row>
    <row r="1121" spans="1:9" x14ac:dyDescent="0.3">
      <c r="A1121" s="1">
        <v>44467</v>
      </c>
      <c r="B1121" t="s">
        <v>234</v>
      </c>
      <c r="C1121" t="s">
        <v>198</v>
      </c>
      <c r="D1121" t="s">
        <v>59</v>
      </c>
      <c r="E1121" t="s">
        <v>177</v>
      </c>
      <c r="F1121">
        <v>1440</v>
      </c>
      <c r="H1121">
        <f t="shared" si="38"/>
        <v>9</v>
      </c>
      <c r="I1121">
        <f t="shared" si="39"/>
        <v>2021</v>
      </c>
    </row>
    <row r="1122" spans="1:9" x14ac:dyDescent="0.3">
      <c r="A1122" s="1">
        <v>44468</v>
      </c>
      <c r="B1122" t="s">
        <v>3</v>
      </c>
      <c r="G1122">
        <v>3270</v>
      </c>
      <c r="H1122">
        <f t="shared" si="38"/>
        <v>9</v>
      </c>
      <c r="I1122">
        <f t="shared" si="39"/>
        <v>2021</v>
      </c>
    </row>
    <row r="1123" spans="1:9" x14ac:dyDescent="0.3">
      <c r="A1123" s="1">
        <v>44468</v>
      </c>
      <c r="B1123" t="s">
        <v>3</v>
      </c>
      <c r="C1123" t="s">
        <v>33</v>
      </c>
      <c r="D1123" t="s">
        <v>18</v>
      </c>
      <c r="E1123" t="s">
        <v>164</v>
      </c>
      <c r="F1123">
        <v>3270</v>
      </c>
      <c r="H1123">
        <f t="shared" si="38"/>
        <v>9</v>
      </c>
      <c r="I1123">
        <f t="shared" si="39"/>
        <v>2021</v>
      </c>
    </row>
    <row r="1124" spans="1:9" x14ac:dyDescent="0.3">
      <c r="A1124" s="1">
        <v>44468</v>
      </c>
      <c r="B1124" t="s">
        <v>299</v>
      </c>
      <c r="G1124">
        <v>9500</v>
      </c>
      <c r="H1124">
        <f t="shared" si="38"/>
        <v>9</v>
      </c>
      <c r="I1124">
        <f t="shared" si="39"/>
        <v>2021</v>
      </c>
    </row>
    <row r="1125" spans="1:9" x14ac:dyDescent="0.3">
      <c r="A1125" s="1">
        <v>44468</v>
      </c>
      <c r="B1125" t="s">
        <v>299</v>
      </c>
      <c r="C1125" t="s">
        <v>94</v>
      </c>
      <c r="D1125" t="s">
        <v>245</v>
      </c>
      <c r="E1125" t="s">
        <v>186</v>
      </c>
      <c r="F1125">
        <v>9500</v>
      </c>
      <c r="H1125">
        <f t="shared" si="38"/>
        <v>9</v>
      </c>
      <c r="I1125">
        <f t="shared" si="39"/>
        <v>2021</v>
      </c>
    </row>
    <row r="1126" spans="1:9" x14ac:dyDescent="0.3">
      <c r="A1126" s="1">
        <v>44468</v>
      </c>
      <c r="B1126" t="s">
        <v>3</v>
      </c>
      <c r="G1126">
        <v>1380</v>
      </c>
      <c r="H1126">
        <f t="shared" si="38"/>
        <v>9</v>
      </c>
      <c r="I1126">
        <f t="shared" si="39"/>
        <v>2021</v>
      </c>
    </row>
    <row r="1127" spans="1:9" x14ac:dyDescent="0.3">
      <c r="A1127" s="1">
        <v>44468</v>
      </c>
      <c r="B1127" t="s">
        <v>3</v>
      </c>
      <c r="C1127" t="s">
        <v>40</v>
      </c>
      <c r="D1127" t="s">
        <v>5</v>
      </c>
      <c r="E1127" t="s">
        <v>104</v>
      </c>
      <c r="F1127">
        <v>330</v>
      </c>
      <c r="H1127">
        <f t="shared" si="38"/>
        <v>9</v>
      </c>
      <c r="I1127">
        <f t="shared" si="39"/>
        <v>2021</v>
      </c>
    </row>
    <row r="1128" spans="1:9" x14ac:dyDescent="0.3">
      <c r="A1128" s="1">
        <v>44468</v>
      </c>
      <c r="B1128" t="s">
        <v>3</v>
      </c>
      <c r="C1128" t="s">
        <v>11</v>
      </c>
      <c r="D1128" t="s">
        <v>5</v>
      </c>
      <c r="E1128" t="s">
        <v>100</v>
      </c>
      <c r="F1128">
        <v>350</v>
      </c>
      <c r="H1128">
        <f t="shared" si="38"/>
        <v>9</v>
      </c>
      <c r="I1128">
        <f t="shared" si="39"/>
        <v>2021</v>
      </c>
    </row>
    <row r="1129" spans="1:9" x14ac:dyDescent="0.3">
      <c r="A1129" s="1">
        <v>44468</v>
      </c>
      <c r="B1129" t="s">
        <v>3</v>
      </c>
      <c r="C1129" t="s">
        <v>324</v>
      </c>
      <c r="D1129" t="s">
        <v>5</v>
      </c>
      <c r="E1129" t="s">
        <v>100</v>
      </c>
      <c r="F1129">
        <v>350</v>
      </c>
      <c r="H1129">
        <f t="shared" si="38"/>
        <v>9</v>
      </c>
      <c r="I1129">
        <f t="shared" si="39"/>
        <v>2021</v>
      </c>
    </row>
    <row r="1130" spans="1:9" x14ac:dyDescent="0.3">
      <c r="A1130" s="1">
        <v>44468</v>
      </c>
      <c r="B1130" t="s">
        <v>3</v>
      </c>
      <c r="C1130" t="s">
        <v>325</v>
      </c>
      <c r="D1130" t="s">
        <v>5</v>
      </c>
      <c r="E1130" t="s">
        <v>100</v>
      </c>
      <c r="F1130">
        <v>350</v>
      </c>
      <c r="H1130">
        <f t="shared" si="38"/>
        <v>9</v>
      </c>
      <c r="I1130">
        <f t="shared" si="39"/>
        <v>2021</v>
      </c>
    </row>
    <row r="1131" spans="1:9" x14ac:dyDescent="0.3">
      <c r="A1131" s="1">
        <v>44468</v>
      </c>
      <c r="B1131" t="s">
        <v>32</v>
      </c>
      <c r="G1131">
        <v>10140</v>
      </c>
      <c r="H1131">
        <f t="shared" si="38"/>
        <v>9</v>
      </c>
      <c r="I1131">
        <f t="shared" si="39"/>
        <v>2021</v>
      </c>
    </row>
    <row r="1132" spans="1:9" x14ac:dyDescent="0.3">
      <c r="A1132" s="1">
        <v>44468</v>
      </c>
      <c r="B1132" t="s">
        <v>32</v>
      </c>
      <c r="C1132" t="s">
        <v>211</v>
      </c>
      <c r="D1132" t="s">
        <v>16</v>
      </c>
      <c r="E1132" t="s">
        <v>212</v>
      </c>
      <c r="F1132">
        <v>4980</v>
      </c>
      <c r="H1132">
        <f t="shared" ref="H1132:H1186" si="40">MONTH(A1132)</f>
        <v>9</v>
      </c>
      <c r="I1132">
        <f t="shared" ref="I1132:I1186" si="41">YEAR(A1132)</f>
        <v>2021</v>
      </c>
    </row>
    <row r="1133" spans="1:9" x14ac:dyDescent="0.3">
      <c r="A1133" s="1">
        <v>44468</v>
      </c>
      <c r="B1133" t="s">
        <v>32</v>
      </c>
      <c r="C1133" t="s">
        <v>213</v>
      </c>
      <c r="D1133" t="s">
        <v>17</v>
      </c>
      <c r="E1133" t="s">
        <v>214</v>
      </c>
      <c r="F1133">
        <v>5160</v>
      </c>
      <c r="H1133">
        <f t="shared" si="40"/>
        <v>9</v>
      </c>
      <c r="I1133">
        <f t="shared" si="41"/>
        <v>2021</v>
      </c>
    </row>
    <row r="1134" spans="1:9" x14ac:dyDescent="0.3">
      <c r="A1134" s="1">
        <v>44468</v>
      </c>
      <c r="B1134" t="s">
        <v>195</v>
      </c>
      <c r="G1134">
        <v>4686</v>
      </c>
      <c r="H1134">
        <f t="shared" si="40"/>
        <v>9</v>
      </c>
      <c r="I1134">
        <f t="shared" si="41"/>
        <v>2021</v>
      </c>
    </row>
    <row r="1135" spans="1:9" x14ac:dyDescent="0.3">
      <c r="A1135" s="1">
        <v>44468</v>
      </c>
      <c r="B1135" t="s">
        <v>195</v>
      </c>
      <c r="C1135" t="s">
        <v>33</v>
      </c>
      <c r="D1135" t="s">
        <v>18</v>
      </c>
      <c r="E1135" t="s">
        <v>164</v>
      </c>
      <c r="F1135">
        <v>3270</v>
      </c>
      <c r="H1135">
        <f t="shared" si="40"/>
        <v>9</v>
      </c>
      <c r="I1135">
        <f t="shared" si="41"/>
        <v>2021</v>
      </c>
    </row>
    <row r="1136" spans="1:9" x14ac:dyDescent="0.3">
      <c r="A1136" s="1">
        <v>44468</v>
      </c>
      <c r="B1136" t="s">
        <v>195</v>
      </c>
      <c r="C1136" t="s">
        <v>173</v>
      </c>
      <c r="D1136" t="s">
        <v>16</v>
      </c>
      <c r="E1136" t="s">
        <v>357</v>
      </c>
      <c r="F1136">
        <v>1416</v>
      </c>
      <c r="H1136">
        <f t="shared" si="40"/>
        <v>9</v>
      </c>
      <c r="I1136">
        <f t="shared" si="41"/>
        <v>2021</v>
      </c>
    </row>
    <row r="1137" spans="1:9" x14ac:dyDescent="0.3">
      <c r="A1137" s="1">
        <v>44468</v>
      </c>
      <c r="B1137" t="s">
        <v>220</v>
      </c>
      <c r="G1137">
        <v>1635</v>
      </c>
      <c r="H1137">
        <f t="shared" si="40"/>
        <v>9</v>
      </c>
      <c r="I1137">
        <f t="shared" si="41"/>
        <v>2021</v>
      </c>
    </row>
    <row r="1138" spans="1:9" x14ac:dyDescent="0.3">
      <c r="A1138" s="1">
        <v>44468</v>
      </c>
      <c r="B1138" t="s">
        <v>220</v>
      </c>
      <c r="C1138" t="s">
        <v>33</v>
      </c>
      <c r="D1138" t="s">
        <v>23</v>
      </c>
      <c r="E1138" t="s">
        <v>164</v>
      </c>
      <c r="F1138">
        <v>1635</v>
      </c>
      <c r="H1138">
        <f t="shared" si="40"/>
        <v>9</v>
      </c>
      <c r="I1138">
        <f t="shared" si="41"/>
        <v>2021</v>
      </c>
    </row>
    <row r="1139" spans="1:9" x14ac:dyDescent="0.3">
      <c r="A1139" s="1">
        <v>44468</v>
      </c>
      <c r="B1139" t="s">
        <v>47</v>
      </c>
      <c r="G1139">
        <v>5220</v>
      </c>
      <c r="H1139">
        <f t="shared" si="40"/>
        <v>9</v>
      </c>
      <c r="I1139">
        <f t="shared" si="41"/>
        <v>2021</v>
      </c>
    </row>
    <row r="1140" spans="1:9" x14ac:dyDescent="0.3">
      <c r="A1140" s="1">
        <v>44468</v>
      </c>
      <c r="B1140" t="s">
        <v>47</v>
      </c>
      <c r="C1140" t="s">
        <v>271</v>
      </c>
      <c r="D1140" t="s">
        <v>12</v>
      </c>
      <c r="E1140" t="s">
        <v>272</v>
      </c>
      <c r="F1140">
        <v>5220</v>
      </c>
      <c r="H1140">
        <f t="shared" si="40"/>
        <v>9</v>
      </c>
      <c r="I1140">
        <f t="shared" si="41"/>
        <v>2021</v>
      </c>
    </row>
    <row r="1141" spans="1:9" x14ac:dyDescent="0.3">
      <c r="A1141" s="1">
        <v>44469</v>
      </c>
      <c r="B1141" t="s">
        <v>3</v>
      </c>
      <c r="G1141">
        <v>2700</v>
      </c>
      <c r="H1141">
        <f t="shared" si="40"/>
        <v>9</v>
      </c>
      <c r="I1141">
        <f t="shared" si="41"/>
        <v>2021</v>
      </c>
    </row>
    <row r="1142" spans="1:9" x14ac:dyDescent="0.3">
      <c r="A1142" s="1">
        <v>44469</v>
      </c>
      <c r="B1142" t="s">
        <v>3</v>
      </c>
      <c r="C1142" t="s">
        <v>98</v>
      </c>
      <c r="D1142" t="s">
        <v>25</v>
      </c>
      <c r="E1142" t="s">
        <v>99</v>
      </c>
      <c r="F1142">
        <v>2700</v>
      </c>
      <c r="H1142">
        <f t="shared" si="40"/>
        <v>9</v>
      </c>
      <c r="I1142">
        <f t="shared" si="41"/>
        <v>2021</v>
      </c>
    </row>
    <row r="1143" spans="1:9" x14ac:dyDescent="0.3">
      <c r="A1143" s="1">
        <v>44469</v>
      </c>
      <c r="B1143" t="s">
        <v>3</v>
      </c>
      <c r="G1143">
        <v>2260</v>
      </c>
      <c r="H1143">
        <f t="shared" si="40"/>
        <v>9</v>
      </c>
      <c r="I1143">
        <f t="shared" si="41"/>
        <v>2021</v>
      </c>
    </row>
    <row r="1144" spans="1:9" x14ac:dyDescent="0.3">
      <c r="A1144" s="1">
        <v>44469</v>
      </c>
      <c r="B1144" t="s">
        <v>3</v>
      </c>
      <c r="C1144" t="s">
        <v>198</v>
      </c>
      <c r="D1144" t="s">
        <v>37</v>
      </c>
      <c r="E1144" t="s">
        <v>177</v>
      </c>
      <c r="F1144">
        <v>1800</v>
      </c>
      <c r="H1144">
        <f t="shared" si="40"/>
        <v>9</v>
      </c>
      <c r="I1144">
        <f t="shared" si="41"/>
        <v>2021</v>
      </c>
    </row>
    <row r="1145" spans="1:9" x14ac:dyDescent="0.3">
      <c r="A1145" s="1">
        <v>44469</v>
      </c>
      <c r="B1145" t="s">
        <v>3</v>
      </c>
      <c r="C1145" t="s">
        <v>235</v>
      </c>
      <c r="D1145" t="s">
        <v>12</v>
      </c>
      <c r="E1145" t="s">
        <v>344</v>
      </c>
      <c r="F1145">
        <v>460</v>
      </c>
      <c r="H1145">
        <f t="shared" si="40"/>
        <v>9</v>
      </c>
      <c r="I1145">
        <f t="shared" si="41"/>
        <v>2021</v>
      </c>
    </row>
    <row r="1146" spans="1:9" x14ac:dyDescent="0.3">
      <c r="A1146" s="1">
        <v>44469</v>
      </c>
      <c r="B1146" t="s">
        <v>3</v>
      </c>
      <c r="C1146" t="s">
        <v>358</v>
      </c>
      <c r="H1146">
        <f t="shared" si="40"/>
        <v>9</v>
      </c>
      <c r="I1146">
        <f t="shared" si="41"/>
        <v>2021</v>
      </c>
    </row>
    <row r="1147" spans="1:9" x14ac:dyDescent="0.3">
      <c r="A1147" s="1">
        <v>44470</v>
      </c>
      <c r="B1147" t="s">
        <v>143</v>
      </c>
      <c r="G1147">
        <v>640</v>
      </c>
      <c r="H1147">
        <f t="shared" si="40"/>
        <v>10</v>
      </c>
      <c r="I1147">
        <f t="shared" si="41"/>
        <v>2021</v>
      </c>
    </row>
    <row r="1148" spans="1:9" x14ac:dyDescent="0.3">
      <c r="A1148" s="1">
        <v>44470</v>
      </c>
      <c r="B1148" t="s">
        <v>143</v>
      </c>
      <c r="C1148" t="s">
        <v>89</v>
      </c>
      <c r="D1148" t="s">
        <v>12</v>
      </c>
      <c r="E1148" t="s">
        <v>90</v>
      </c>
      <c r="F1148">
        <v>640</v>
      </c>
      <c r="H1148">
        <f t="shared" si="40"/>
        <v>10</v>
      </c>
      <c r="I1148">
        <f t="shared" si="41"/>
        <v>2021</v>
      </c>
    </row>
    <row r="1149" spans="1:9" x14ac:dyDescent="0.3">
      <c r="A1149" s="1">
        <v>44470</v>
      </c>
      <c r="B1149" t="s">
        <v>3</v>
      </c>
      <c r="G1149">
        <v>3920</v>
      </c>
      <c r="H1149">
        <f t="shared" si="40"/>
        <v>10</v>
      </c>
      <c r="I1149">
        <f t="shared" si="41"/>
        <v>2021</v>
      </c>
    </row>
    <row r="1150" spans="1:9" x14ac:dyDescent="0.3">
      <c r="A1150" s="1">
        <v>44470</v>
      </c>
      <c r="B1150" t="s">
        <v>3</v>
      </c>
      <c r="C1150" t="s">
        <v>40</v>
      </c>
      <c r="D1150" t="s">
        <v>18</v>
      </c>
      <c r="E1150" t="s">
        <v>104</v>
      </c>
      <c r="F1150">
        <v>1980</v>
      </c>
      <c r="H1150">
        <f t="shared" si="40"/>
        <v>10</v>
      </c>
      <c r="I1150">
        <f t="shared" si="41"/>
        <v>2021</v>
      </c>
    </row>
    <row r="1151" spans="1:9" x14ac:dyDescent="0.3">
      <c r="A1151" s="1">
        <v>44470</v>
      </c>
      <c r="B1151" t="s">
        <v>3</v>
      </c>
      <c r="C1151" t="s">
        <v>40</v>
      </c>
      <c r="D1151" t="s">
        <v>12</v>
      </c>
      <c r="E1151" t="s">
        <v>104</v>
      </c>
      <c r="F1151">
        <v>660</v>
      </c>
      <c r="H1151">
        <f t="shared" si="40"/>
        <v>10</v>
      </c>
      <c r="I1151">
        <f t="shared" si="41"/>
        <v>2021</v>
      </c>
    </row>
    <row r="1152" spans="1:9" x14ac:dyDescent="0.3">
      <c r="A1152" s="1">
        <v>44470</v>
      </c>
      <c r="B1152" t="s">
        <v>3</v>
      </c>
      <c r="C1152" t="s">
        <v>325</v>
      </c>
      <c r="D1152" t="s">
        <v>5</v>
      </c>
      <c r="E1152" t="s">
        <v>118</v>
      </c>
      <c r="F1152">
        <v>340</v>
      </c>
      <c r="H1152">
        <f t="shared" si="40"/>
        <v>10</v>
      </c>
      <c r="I1152">
        <f t="shared" si="41"/>
        <v>2021</v>
      </c>
    </row>
    <row r="1153" spans="1:9" x14ac:dyDescent="0.3">
      <c r="A1153" s="1">
        <v>44470</v>
      </c>
      <c r="B1153" t="s">
        <v>3</v>
      </c>
      <c r="C1153" t="s">
        <v>94</v>
      </c>
      <c r="D1153" t="s">
        <v>138</v>
      </c>
      <c r="E1153" t="s">
        <v>186</v>
      </c>
      <c r="F1153">
        <v>760</v>
      </c>
      <c r="H1153">
        <f t="shared" si="40"/>
        <v>10</v>
      </c>
      <c r="I1153">
        <f t="shared" si="41"/>
        <v>2021</v>
      </c>
    </row>
    <row r="1154" spans="1:9" x14ac:dyDescent="0.3">
      <c r="A1154" s="1">
        <v>44470</v>
      </c>
      <c r="B1154" t="s">
        <v>3</v>
      </c>
      <c r="C1154" t="s">
        <v>198</v>
      </c>
      <c r="D1154" t="s">
        <v>5</v>
      </c>
      <c r="E1154" t="s">
        <v>177</v>
      </c>
      <c r="F1154">
        <v>180</v>
      </c>
      <c r="H1154">
        <f t="shared" si="40"/>
        <v>10</v>
      </c>
      <c r="I1154">
        <f t="shared" si="41"/>
        <v>2021</v>
      </c>
    </row>
    <row r="1155" spans="1:9" x14ac:dyDescent="0.3">
      <c r="A1155" s="1">
        <v>44471</v>
      </c>
      <c r="B1155" t="s">
        <v>8</v>
      </c>
      <c r="G1155">
        <v>26850</v>
      </c>
      <c r="H1155">
        <f t="shared" si="40"/>
        <v>10</v>
      </c>
      <c r="I1155">
        <f t="shared" si="41"/>
        <v>2021</v>
      </c>
    </row>
    <row r="1156" spans="1:9" x14ac:dyDescent="0.3">
      <c r="A1156" s="1">
        <v>44471</v>
      </c>
      <c r="B1156" t="s">
        <v>8</v>
      </c>
      <c r="C1156" t="s">
        <v>40</v>
      </c>
      <c r="D1156" t="s">
        <v>52</v>
      </c>
      <c r="E1156" t="s">
        <v>104</v>
      </c>
      <c r="F1156">
        <v>16500</v>
      </c>
      <c r="H1156">
        <f t="shared" si="40"/>
        <v>10</v>
      </c>
      <c r="I1156">
        <f t="shared" si="41"/>
        <v>2021</v>
      </c>
    </row>
    <row r="1157" spans="1:9" x14ac:dyDescent="0.3">
      <c r="A1157" s="1">
        <v>44471</v>
      </c>
      <c r="B1157" t="s">
        <v>8</v>
      </c>
      <c r="C1157" t="s">
        <v>38</v>
      </c>
      <c r="D1157" t="s">
        <v>9</v>
      </c>
      <c r="E1157" t="s">
        <v>13</v>
      </c>
      <c r="F1157">
        <v>6900</v>
      </c>
      <c r="H1157">
        <f t="shared" si="40"/>
        <v>10</v>
      </c>
      <c r="I1157">
        <f t="shared" si="41"/>
        <v>2021</v>
      </c>
    </row>
    <row r="1158" spans="1:9" x14ac:dyDescent="0.3">
      <c r="A1158" s="1">
        <v>44471</v>
      </c>
      <c r="B1158" t="s">
        <v>8</v>
      </c>
      <c r="C1158" t="s">
        <v>11</v>
      </c>
      <c r="D1158" t="s">
        <v>37</v>
      </c>
      <c r="E1158" t="s">
        <v>13</v>
      </c>
      <c r="F1158">
        <v>3450</v>
      </c>
      <c r="H1158">
        <f t="shared" si="40"/>
        <v>10</v>
      </c>
      <c r="I1158">
        <f t="shared" si="41"/>
        <v>2021</v>
      </c>
    </row>
    <row r="1159" spans="1:9" x14ac:dyDescent="0.3">
      <c r="A1159" s="1">
        <v>44471</v>
      </c>
      <c r="B1159" t="s">
        <v>234</v>
      </c>
      <c r="G1159">
        <v>17735</v>
      </c>
      <c r="H1159">
        <f t="shared" si="40"/>
        <v>10</v>
      </c>
      <c r="I1159">
        <f t="shared" si="41"/>
        <v>2021</v>
      </c>
    </row>
    <row r="1160" spans="1:9" x14ac:dyDescent="0.3">
      <c r="A1160" s="1">
        <v>44471</v>
      </c>
      <c r="B1160" t="s">
        <v>234</v>
      </c>
      <c r="C1160" t="s">
        <v>293</v>
      </c>
      <c r="D1160" t="s">
        <v>30</v>
      </c>
      <c r="E1160" t="s">
        <v>214</v>
      </c>
      <c r="F1160">
        <v>1505</v>
      </c>
      <c r="H1160">
        <f t="shared" si="40"/>
        <v>10</v>
      </c>
      <c r="I1160">
        <f t="shared" si="41"/>
        <v>2021</v>
      </c>
    </row>
    <row r="1161" spans="1:9" x14ac:dyDescent="0.3">
      <c r="A1161" s="1">
        <v>44471</v>
      </c>
      <c r="B1161" t="s">
        <v>234</v>
      </c>
      <c r="C1161" t="s">
        <v>40</v>
      </c>
      <c r="D1161" t="s">
        <v>61</v>
      </c>
      <c r="E1161" t="s">
        <v>104</v>
      </c>
      <c r="F1161">
        <v>4950</v>
      </c>
      <c r="H1161">
        <f t="shared" si="40"/>
        <v>10</v>
      </c>
      <c r="I1161">
        <f t="shared" si="41"/>
        <v>2021</v>
      </c>
    </row>
    <row r="1162" spans="1:9" x14ac:dyDescent="0.3">
      <c r="A1162" s="1">
        <v>44471</v>
      </c>
      <c r="B1162" t="s">
        <v>234</v>
      </c>
      <c r="C1162" t="s">
        <v>38</v>
      </c>
      <c r="D1162" t="s">
        <v>37</v>
      </c>
      <c r="E1162" t="s">
        <v>13</v>
      </c>
      <c r="F1162">
        <v>3450</v>
      </c>
      <c r="H1162">
        <f t="shared" si="40"/>
        <v>10</v>
      </c>
      <c r="I1162">
        <f t="shared" si="41"/>
        <v>2021</v>
      </c>
    </row>
    <row r="1163" spans="1:9" x14ac:dyDescent="0.3">
      <c r="A1163" s="1">
        <v>44471</v>
      </c>
      <c r="B1163" t="s">
        <v>234</v>
      </c>
      <c r="C1163" t="s">
        <v>324</v>
      </c>
      <c r="D1163" t="s">
        <v>93</v>
      </c>
      <c r="E1163" t="s">
        <v>13</v>
      </c>
      <c r="F1163">
        <v>1380</v>
      </c>
      <c r="H1163">
        <f t="shared" si="40"/>
        <v>10</v>
      </c>
      <c r="I1163">
        <f t="shared" si="41"/>
        <v>2021</v>
      </c>
    </row>
    <row r="1164" spans="1:9" x14ac:dyDescent="0.3">
      <c r="A1164" s="1">
        <v>44471</v>
      </c>
      <c r="B1164" t="s">
        <v>234</v>
      </c>
      <c r="C1164" t="s">
        <v>98</v>
      </c>
      <c r="D1164" t="s">
        <v>25</v>
      </c>
      <c r="E1164" t="s">
        <v>26</v>
      </c>
      <c r="F1164">
        <v>2650</v>
      </c>
      <c r="H1164">
        <f t="shared" si="40"/>
        <v>10</v>
      </c>
      <c r="I1164">
        <f t="shared" si="41"/>
        <v>2021</v>
      </c>
    </row>
    <row r="1165" spans="1:9" x14ac:dyDescent="0.3">
      <c r="A1165" s="1">
        <v>44471</v>
      </c>
      <c r="B1165" t="s">
        <v>234</v>
      </c>
      <c r="C1165" t="s">
        <v>94</v>
      </c>
      <c r="D1165" t="s">
        <v>251</v>
      </c>
      <c r="E1165" t="s">
        <v>186</v>
      </c>
      <c r="F1165">
        <v>3800</v>
      </c>
      <c r="H1165">
        <f t="shared" si="40"/>
        <v>10</v>
      </c>
      <c r="I1165">
        <f t="shared" si="41"/>
        <v>2021</v>
      </c>
    </row>
    <row r="1166" spans="1:9" x14ac:dyDescent="0.3">
      <c r="A1166" s="1">
        <v>44471</v>
      </c>
      <c r="B1166" t="s">
        <v>3</v>
      </c>
      <c r="G1166">
        <v>5360</v>
      </c>
      <c r="H1166">
        <f t="shared" si="40"/>
        <v>10</v>
      </c>
      <c r="I1166">
        <f t="shared" si="41"/>
        <v>2021</v>
      </c>
    </row>
    <row r="1167" spans="1:9" x14ac:dyDescent="0.3">
      <c r="A1167" s="1">
        <v>44471</v>
      </c>
      <c r="B1167" t="s">
        <v>3</v>
      </c>
      <c r="C1167" t="s">
        <v>325</v>
      </c>
      <c r="D1167" t="s">
        <v>59</v>
      </c>
      <c r="E1167" t="s">
        <v>13</v>
      </c>
      <c r="F1167">
        <v>2760</v>
      </c>
      <c r="H1167">
        <f t="shared" si="40"/>
        <v>10</v>
      </c>
      <c r="I1167">
        <f t="shared" si="41"/>
        <v>2021</v>
      </c>
    </row>
    <row r="1168" spans="1:9" x14ac:dyDescent="0.3">
      <c r="A1168" s="1">
        <v>44471</v>
      </c>
      <c r="B1168" t="s">
        <v>3</v>
      </c>
      <c r="C1168" t="s">
        <v>98</v>
      </c>
      <c r="D1168" t="s">
        <v>25</v>
      </c>
      <c r="E1168" t="s">
        <v>31</v>
      </c>
      <c r="F1168">
        <v>2600</v>
      </c>
      <c r="H1168">
        <f t="shared" si="40"/>
        <v>10</v>
      </c>
      <c r="I1168">
        <f t="shared" si="41"/>
        <v>2021</v>
      </c>
    </row>
    <row r="1169" spans="1:9" x14ac:dyDescent="0.3">
      <c r="A1169" s="1">
        <v>44471</v>
      </c>
      <c r="B1169" t="s">
        <v>3</v>
      </c>
      <c r="G1169">
        <v>6600</v>
      </c>
      <c r="H1169">
        <f t="shared" si="40"/>
        <v>10</v>
      </c>
      <c r="I1169">
        <f t="shared" si="41"/>
        <v>2021</v>
      </c>
    </row>
    <row r="1170" spans="1:9" x14ac:dyDescent="0.3">
      <c r="A1170" s="1">
        <v>44471</v>
      </c>
      <c r="B1170" t="s">
        <v>3</v>
      </c>
      <c r="C1170" t="s">
        <v>40</v>
      </c>
      <c r="D1170" t="s">
        <v>9</v>
      </c>
      <c r="E1170" t="s">
        <v>104</v>
      </c>
      <c r="F1170">
        <v>6600</v>
      </c>
      <c r="H1170">
        <f t="shared" si="40"/>
        <v>10</v>
      </c>
      <c r="I1170">
        <f t="shared" si="41"/>
        <v>2021</v>
      </c>
    </row>
    <row r="1171" spans="1:9" x14ac:dyDescent="0.3">
      <c r="A1171" s="1">
        <v>44471</v>
      </c>
      <c r="B1171" t="s">
        <v>3</v>
      </c>
      <c r="G1171">
        <v>9180</v>
      </c>
      <c r="H1171">
        <f t="shared" si="40"/>
        <v>10</v>
      </c>
      <c r="I1171">
        <f t="shared" si="41"/>
        <v>2021</v>
      </c>
    </row>
    <row r="1172" spans="1:9" x14ac:dyDescent="0.3">
      <c r="A1172" s="1">
        <v>44471</v>
      </c>
      <c r="B1172" t="s">
        <v>3</v>
      </c>
      <c r="C1172" t="s">
        <v>98</v>
      </c>
      <c r="D1172" t="s">
        <v>25</v>
      </c>
      <c r="E1172" t="s">
        <v>31</v>
      </c>
      <c r="F1172">
        <v>2600</v>
      </c>
      <c r="H1172">
        <f t="shared" si="40"/>
        <v>10</v>
      </c>
      <c r="I1172">
        <f t="shared" si="41"/>
        <v>2021</v>
      </c>
    </row>
    <row r="1173" spans="1:9" x14ac:dyDescent="0.3">
      <c r="A1173" s="1">
        <v>44471</v>
      </c>
      <c r="B1173" t="s">
        <v>3</v>
      </c>
      <c r="C1173" t="s">
        <v>324</v>
      </c>
      <c r="D1173" t="s">
        <v>93</v>
      </c>
      <c r="E1173" t="s">
        <v>13</v>
      </c>
      <c r="F1173">
        <v>1380</v>
      </c>
      <c r="H1173">
        <f t="shared" si="40"/>
        <v>10</v>
      </c>
      <c r="I1173">
        <f t="shared" si="41"/>
        <v>2021</v>
      </c>
    </row>
    <row r="1174" spans="1:9" x14ac:dyDescent="0.3">
      <c r="A1174" s="1">
        <v>44471</v>
      </c>
      <c r="B1174" t="s">
        <v>3</v>
      </c>
      <c r="C1174" t="s">
        <v>98</v>
      </c>
      <c r="D1174" t="s">
        <v>37</v>
      </c>
      <c r="E1174" t="s">
        <v>31</v>
      </c>
      <c r="F1174">
        <v>5200</v>
      </c>
      <c r="H1174">
        <f t="shared" si="40"/>
        <v>10</v>
      </c>
      <c r="I1174">
        <f t="shared" si="41"/>
        <v>2021</v>
      </c>
    </row>
    <row r="1175" spans="1:9" x14ac:dyDescent="0.3">
      <c r="A1175" s="1">
        <v>44471</v>
      </c>
      <c r="B1175" t="s">
        <v>352</v>
      </c>
      <c r="G1175">
        <v>1680</v>
      </c>
      <c r="H1175">
        <f t="shared" si="40"/>
        <v>10</v>
      </c>
      <c r="I1175">
        <f t="shared" si="41"/>
        <v>2021</v>
      </c>
    </row>
    <row r="1176" spans="1:9" x14ac:dyDescent="0.3">
      <c r="A1176" s="1">
        <v>44471</v>
      </c>
      <c r="B1176" t="s">
        <v>352</v>
      </c>
      <c r="C1176" t="s">
        <v>211</v>
      </c>
      <c r="D1176" t="s">
        <v>93</v>
      </c>
      <c r="E1176" t="s">
        <v>79</v>
      </c>
      <c r="F1176">
        <v>1680</v>
      </c>
      <c r="H1176">
        <f t="shared" si="40"/>
        <v>10</v>
      </c>
      <c r="I1176">
        <f t="shared" si="41"/>
        <v>2021</v>
      </c>
    </row>
    <row r="1177" spans="1:9" x14ac:dyDescent="0.3">
      <c r="A1177" s="1">
        <v>44475</v>
      </c>
      <c r="B1177" t="s">
        <v>299</v>
      </c>
      <c r="G1177">
        <v>6700</v>
      </c>
      <c r="H1177">
        <f t="shared" si="40"/>
        <v>10</v>
      </c>
      <c r="I1177">
        <f t="shared" si="41"/>
        <v>2021</v>
      </c>
    </row>
    <row r="1178" spans="1:9" x14ac:dyDescent="0.3">
      <c r="A1178" s="1">
        <v>44475</v>
      </c>
      <c r="B1178" t="s">
        <v>299</v>
      </c>
      <c r="C1178" t="s">
        <v>40</v>
      </c>
      <c r="D1178" t="s">
        <v>61</v>
      </c>
      <c r="E1178" t="s">
        <v>104</v>
      </c>
      <c r="F1178">
        <v>4950</v>
      </c>
      <c r="H1178">
        <f t="shared" si="40"/>
        <v>10</v>
      </c>
      <c r="I1178">
        <f t="shared" si="41"/>
        <v>2021</v>
      </c>
    </row>
    <row r="1179" spans="1:9" x14ac:dyDescent="0.3">
      <c r="A1179" s="1">
        <v>44475</v>
      </c>
      <c r="B1179" t="s">
        <v>299</v>
      </c>
      <c r="C1179" t="s">
        <v>38</v>
      </c>
      <c r="D1179" t="s">
        <v>25</v>
      </c>
      <c r="E1179" t="s">
        <v>100</v>
      </c>
      <c r="F1179">
        <v>1750</v>
      </c>
      <c r="H1179">
        <f t="shared" si="40"/>
        <v>10</v>
      </c>
      <c r="I1179">
        <f t="shared" si="41"/>
        <v>2021</v>
      </c>
    </row>
    <row r="1180" spans="1:9" x14ac:dyDescent="0.3">
      <c r="A1180" s="1">
        <v>44475</v>
      </c>
      <c r="B1180" t="s">
        <v>248</v>
      </c>
      <c r="G1180">
        <v>7050</v>
      </c>
      <c r="H1180">
        <f t="shared" si="40"/>
        <v>10</v>
      </c>
      <c r="I1180">
        <f t="shared" si="41"/>
        <v>2021</v>
      </c>
    </row>
    <row r="1181" spans="1:9" x14ac:dyDescent="0.3">
      <c r="A1181" s="1">
        <v>44475</v>
      </c>
      <c r="B1181" t="s">
        <v>248</v>
      </c>
      <c r="C1181" t="s">
        <v>148</v>
      </c>
      <c r="D1181" t="s">
        <v>37</v>
      </c>
      <c r="E1181" t="s">
        <v>149</v>
      </c>
      <c r="F1181">
        <v>1850</v>
      </c>
      <c r="H1181">
        <f t="shared" si="40"/>
        <v>10</v>
      </c>
      <c r="I1181">
        <f t="shared" si="41"/>
        <v>2021</v>
      </c>
    </row>
    <row r="1182" spans="1:9" x14ac:dyDescent="0.3">
      <c r="A1182" s="1">
        <v>44475</v>
      </c>
      <c r="B1182" t="s">
        <v>248</v>
      </c>
      <c r="C1182" t="s">
        <v>40</v>
      </c>
      <c r="D1182" t="s">
        <v>37</v>
      </c>
      <c r="E1182" t="s">
        <v>104</v>
      </c>
      <c r="F1182">
        <v>3300</v>
      </c>
      <c r="H1182">
        <f t="shared" si="40"/>
        <v>10</v>
      </c>
      <c r="I1182">
        <f t="shared" si="41"/>
        <v>2021</v>
      </c>
    </row>
    <row r="1183" spans="1:9" x14ac:dyDescent="0.3">
      <c r="A1183" s="1">
        <v>44475</v>
      </c>
      <c r="B1183" t="s">
        <v>248</v>
      </c>
      <c r="C1183" t="s">
        <v>94</v>
      </c>
      <c r="D1183" t="s">
        <v>180</v>
      </c>
      <c r="E1183" t="s">
        <v>186</v>
      </c>
      <c r="F1183">
        <v>1900</v>
      </c>
      <c r="H1183">
        <f t="shared" si="40"/>
        <v>10</v>
      </c>
      <c r="I1183">
        <f t="shared" si="41"/>
        <v>2021</v>
      </c>
    </row>
    <row r="1184" spans="1:9" x14ac:dyDescent="0.3">
      <c r="A1184" s="1">
        <v>44475</v>
      </c>
      <c r="B1184" t="s">
        <v>75</v>
      </c>
      <c r="G1184">
        <v>7100</v>
      </c>
      <c r="H1184">
        <f t="shared" si="40"/>
        <v>10</v>
      </c>
      <c r="I1184">
        <f t="shared" si="41"/>
        <v>2021</v>
      </c>
    </row>
    <row r="1185" spans="1:9" x14ac:dyDescent="0.3">
      <c r="A1185" s="1">
        <v>44475</v>
      </c>
      <c r="B1185" t="s">
        <v>75</v>
      </c>
      <c r="C1185" t="s">
        <v>40</v>
      </c>
      <c r="D1185" t="s">
        <v>37</v>
      </c>
      <c r="E1185" t="s">
        <v>104</v>
      </c>
      <c r="F1185">
        <v>3300</v>
      </c>
      <c r="H1185">
        <f t="shared" si="40"/>
        <v>10</v>
      </c>
      <c r="I1185">
        <f t="shared" si="41"/>
        <v>2021</v>
      </c>
    </row>
    <row r="1186" spans="1:9" x14ac:dyDescent="0.3">
      <c r="A1186" s="1">
        <v>44475</v>
      </c>
      <c r="B1186" t="s">
        <v>75</v>
      </c>
      <c r="C1186" t="s">
        <v>94</v>
      </c>
      <c r="D1186" t="s">
        <v>251</v>
      </c>
      <c r="E1186" t="s">
        <v>186</v>
      </c>
      <c r="F1186">
        <v>3800</v>
      </c>
      <c r="H1186">
        <f t="shared" si="40"/>
        <v>10</v>
      </c>
      <c r="I1186">
        <f t="shared" si="41"/>
        <v>2021</v>
      </c>
    </row>
    <row r="1187" spans="1:9" x14ac:dyDescent="0.3">
      <c r="A1187" s="1">
        <v>44475</v>
      </c>
      <c r="B1187" t="s">
        <v>85</v>
      </c>
      <c r="G1187">
        <v>4360</v>
      </c>
      <c r="H1187">
        <f t="shared" ref="H1187:H1242" si="42">MONTH(A1187)</f>
        <v>10</v>
      </c>
      <c r="I1187">
        <f t="shared" ref="I1187:I1242" si="43">YEAR(A1187)</f>
        <v>2021</v>
      </c>
    </row>
    <row r="1188" spans="1:9" x14ac:dyDescent="0.3">
      <c r="A1188" s="1">
        <v>44475</v>
      </c>
      <c r="B1188" t="s">
        <v>85</v>
      </c>
      <c r="C1188" t="s">
        <v>33</v>
      </c>
      <c r="D1188" t="s">
        <v>59</v>
      </c>
      <c r="E1188" t="s">
        <v>164</v>
      </c>
      <c r="F1188">
        <v>4360</v>
      </c>
      <c r="H1188">
        <f t="shared" si="42"/>
        <v>10</v>
      </c>
      <c r="I1188">
        <f t="shared" si="43"/>
        <v>2021</v>
      </c>
    </row>
    <row r="1189" spans="1:9" x14ac:dyDescent="0.3">
      <c r="A1189" s="1">
        <v>44475</v>
      </c>
      <c r="B1189" t="s">
        <v>195</v>
      </c>
      <c r="G1189">
        <v>3090</v>
      </c>
      <c r="H1189">
        <f t="shared" si="42"/>
        <v>10</v>
      </c>
      <c r="I1189">
        <f t="shared" si="43"/>
        <v>2021</v>
      </c>
    </row>
    <row r="1190" spans="1:9" x14ac:dyDescent="0.3">
      <c r="A1190" s="1">
        <v>44475</v>
      </c>
      <c r="B1190" t="s">
        <v>195</v>
      </c>
      <c r="C1190" t="s">
        <v>338</v>
      </c>
      <c r="D1190" t="s">
        <v>18</v>
      </c>
      <c r="E1190" t="s">
        <v>81</v>
      </c>
      <c r="F1190">
        <v>3090</v>
      </c>
      <c r="H1190">
        <f t="shared" si="42"/>
        <v>10</v>
      </c>
      <c r="I1190">
        <f t="shared" si="43"/>
        <v>2021</v>
      </c>
    </row>
    <row r="1191" spans="1:9" x14ac:dyDescent="0.3">
      <c r="A1191" s="1">
        <v>44475</v>
      </c>
      <c r="B1191" t="s">
        <v>10</v>
      </c>
      <c r="G1191">
        <v>11550</v>
      </c>
      <c r="H1191">
        <f t="shared" si="42"/>
        <v>10</v>
      </c>
      <c r="I1191">
        <f t="shared" si="43"/>
        <v>2021</v>
      </c>
    </row>
    <row r="1192" spans="1:9" x14ac:dyDescent="0.3">
      <c r="A1192" s="1">
        <v>44475</v>
      </c>
      <c r="B1192" t="s">
        <v>10</v>
      </c>
      <c r="C1192" t="s">
        <v>40</v>
      </c>
      <c r="D1192" t="s">
        <v>287</v>
      </c>
      <c r="E1192" t="s">
        <v>104</v>
      </c>
      <c r="F1192">
        <v>11550</v>
      </c>
      <c r="H1192">
        <f t="shared" si="42"/>
        <v>10</v>
      </c>
      <c r="I1192">
        <f t="shared" si="43"/>
        <v>2021</v>
      </c>
    </row>
    <row r="1193" spans="1:9" x14ac:dyDescent="0.3">
      <c r="A1193" s="1">
        <v>44475</v>
      </c>
      <c r="B1193" t="s">
        <v>10</v>
      </c>
      <c r="G1193">
        <v>8650</v>
      </c>
      <c r="H1193">
        <f t="shared" si="42"/>
        <v>10</v>
      </c>
      <c r="I1193">
        <f t="shared" si="43"/>
        <v>2021</v>
      </c>
    </row>
    <row r="1194" spans="1:9" x14ac:dyDescent="0.3">
      <c r="A1194" s="1">
        <v>44475</v>
      </c>
      <c r="B1194" t="s">
        <v>10</v>
      </c>
      <c r="C1194" t="s">
        <v>98</v>
      </c>
      <c r="D1194" t="s">
        <v>37</v>
      </c>
      <c r="E1194" t="s">
        <v>31</v>
      </c>
      <c r="F1194">
        <v>5200</v>
      </c>
      <c r="H1194">
        <f t="shared" si="42"/>
        <v>10</v>
      </c>
      <c r="I1194">
        <f t="shared" si="43"/>
        <v>2021</v>
      </c>
    </row>
    <row r="1195" spans="1:9" x14ac:dyDescent="0.3">
      <c r="A1195" s="1">
        <v>44475</v>
      </c>
      <c r="B1195" t="s">
        <v>10</v>
      </c>
      <c r="C1195" t="s">
        <v>38</v>
      </c>
      <c r="D1195" t="s">
        <v>25</v>
      </c>
      <c r="E1195" t="s">
        <v>13</v>
      </c>
      <c r="F1195">
        <v>1725</v>
      </c>
      <c r="H1195">
        <f t="shared" si="42"/>
        <v>10</v>
      </c>
      <c r="I1195">
        <f t="shared" si="43"/>
        <v>2021</v>
      </c>
    </row>
    <row r="1196" spans="1:9" x14ac:dyDescent="0.3">
      <c r="A1196" s="1">
        <v>44475</v>
      </c>
      <c r="B1196" t="s">
        <v>10</v>
      </c>
      <c r="C1196" t="s">
        <v>11</v>
      </c>
      <c r="D1196" t="s">
        <v>25</v>
      </c>
      <c r="E1196" t="s">
        <v>13</v>
      </c>
      <c r="F1196">
        <v>1725</v>
      </c>
      <c r="H1196">
        <f t="shared" si="42"/>
        <v>10</v>
      </c>
      <c r="I1196">
        <f t="shared" si="43"/>
        <v>2021</v>
      </c>
    </row>
    <row r="1197" spans="1:9" x14ac:dyDescent="0.3">
      <c r="A1197" s="1">
        <v>44475</v>
      </c>
      <c r="B1197" t="s">
        <v>8</v>
      </c>
      <c r="G1197">
        <v>1000</v>
      </c>
      <c r="H1197">
        <f t="shared" si="42"/>
        <v>10</v>
      </c>
      <c r="I1197">
        <f t="shared" si="43"/>
        <v>2021</v>
      </c>
    </row>
    <row r="1198" spans="1:9" x14ac:dyDescent="0.3">
      <c r="A1198" s="1">
        <v>44475</v>
      </c>
      <c r="B1198" t="s">
        <v>8</v>
      </c>
      <c r="C1198" t="s">
        <v>194</v>
      </c>
      <c r="D1198">
        <v>350</v>
      </c>
      <c r="F1198">
        <v>1000</v>
      </c>
      <c r="H1198">
        <f t="shared" si="42"/>
        <v>10</v>
      </c>
      <c r="I1198">
        <f t="shared" si="43"/>
        <v>2021</v>
      </c>
    </row>
    <row r="1199" spans="1:9" x14ac:dyDescent="0.3">
      <c r="A1199" s="1">
        <v>44475</v>
      </c>
      <c r="B1199" t="s">
        <v>8</v>
      </c>
      <c r="C1199" t="s">
        <v>338</v>
      </c>
      <c r="D1199" t="s">
        <v>12</v>
      </c>
      <c r="E1199" t="s">
        <v>156</v>
      </c>
      <c r="F1199">
        <v>1000</v>
      </c>
      <c r="H1199">
        <f t="shared" si="42"/>
        <v>10</v>
      </c>
      <c r="I1199">
        <f t="shared" si="43"/>
        <v>2021</v>
      </c>
    </row>
    <row r="1200" spans="1:9" x14ac:dyDescent="0.3">
      <c r="A1200" s="1">
        <v>44478</v>
      </c>
      <c r="B1200" t="s">
        <v>196</v>
      </c>
      <c r="G1200">
        <v>4550</v>
      </c>
      <c r="H1200">
        <f t="shared" si="42"/>
        <v>10</v>
      </c>
      <c r="I1200">
        <f t="shared" si="43"/>
        <v>2021</v>
      </c>
    </row>
    <row r="1201" spans="1:9" x14ac:dyDescent="0.3">
      <c r="A1201" s="1">
        <v>44478</v>
      </c>
      <c r="B1201" t="s">
        <v>196</v>
      </c>
      <c r="C1201" t="s">
        <v>148</v>
      </c>
      <c r="D1201" t="s">
        <v>37</v>
      </c>
      <c r="E1201" t="s">
        <v>149</v>
      </c>
      <c r="F1201">
        <v>1850</v>
      </c>
      <c r="H1201">
        <f t="shared" si="42"/>
        <v>10</v>
      </c>
      <c r="I1201">
        <f t="shared" si="43"/>
        <v>2021</v>
      </c>
    </row>
    <row r="1202" spans="1:9" x14ac:dyDescent="0.3">
      <c r="A1202" s="1">
        <v>44478</v>
      </c>
      <c r="B1202" t="s">
        <v>196</v>
      </c>
      <c r="C1202" t="s">
        <v>98</v>
      </c>
      <c r="D1202" t="s">
        <v>25</v>
      </c>
      <c r="E1202" t="s">
        <v>99</v>
      </c>
      <c r="F1202">
        <v>2700</v>
      </c>
      <c r="H1202">
        <f t="shared" si="42"/>
        <v>10</v>
      </c>
      <c r="I1202">
        <f t="shared" si="43"/>
        <v>2021</v>
      </c>
    </row>
    <row r="1203" spans="1:9" x14ac:dyDescent="0.3">
      <c r="A1203" s="1">
        <v>44478</v>
      </c>
      <c r="B1203" t="s">
        <v>222</v>
      </c>
      <c r="G1203">
        <v>5862</v>
      </c>
      <c r="H1203">
        <f t="shared" si="42"/>
        <v>10</v>
      </c>
      <c r="I1203">
        <f t="shared" si="43"/>
        <v>2021</v>
      </c>
    </row>
    <row r="1204" spans="1:9" x14ac:dyDescent="0.3">
      <c r="A1204" s="1">
        <v>44478</v>
      </c>
      <c r="B1204" t="s">
        <v>222</v>
      </c>
      <c r="C1204" t="s">
        <v>134</v>
      </c>
      <c r="D1204" t="s">
        <v>12</v>
      </c>
      <c r="E1204" t="s">
        <v>164</v>
      </c>
      <c r="F1204">
        <v>1090</v>
      </c>
      <c r="H1204">
        <f t="shared" si="42"/>
        <v>10</v>
      </c>
      <c r="I1204">
        <f t="shared" si="43"/>
        <v>2021</v>
      </c>
    </row>
    <row r="1205" spans="1:9" x14ac:dyDescent="0.3">
      <c r="A1205" s="1">
        <v>44478</v>
      </c>
      <c r="B1205" t="s">
        <v>222</v>
      </c>
      <c r="C1205" t="s">
        <v>108</v>
      </c>
      <c r="D1205" t="s">
        <v>93</v>
      </c>
      <c r="E1205" t="s">
        <v>164</v>
      </c>
      <c r="F1205">
        <v>2180</v>
      </c>
      <c r="H1205">
        <f t="shared" si="42"/>
        <v>10</v>
      </c>
      <c r="I1205">
        <f t="shared" si="43"/>
        <v>2021</v>
      </c>
    </row>
    <row r="1206" spans="1:9" x14ac:dyDescent="0.3">
      <c r="A1206" s="1">
        <v>44478</v>
      </c>
      <c r="B1206" t="s">
        <v>222</v>
      </c>
      <c r="C1206" t="s">
        <v>29</v>
      </c>
      <c r="D1206" t="s">
        <v>93</v>
      </c>
      <c r="E1206" t="s">
        <v>153</v>
      </c>
      <c r="F1206">
        <v>2592</v>
      </c>
      <c r="H1206">
        <f t="shared" si="42"/>
        <v>10</v>
      </c>
      <c r="I1206">
        <f t="shared" si="43"/>
        <v>2021</v>
      </c>
    </row>
    <row r="1207" spans="1:9" x14ac:dyDescent="0.3">
      <c r="A1207" s="1">
        <v>44478</v>
      </c>
      <c r="B1207" t="s">
        <v>32</v>
      </c>
      <c r="G1207">
        <v>4980</v>
      </c>
      <c r="H1207">
        <f t="shared" si="42"/>
        <v>10</v>
      </c>
      <c r="I1207">
        <f t="shared" si="43"/>
        <v>2021</v>
      </c>
    </row>
    <row r="1208" spans="1:9" x14ac:dyDescent="0.3">
      <c r="A1208" s="1">
        <v>44478</v>
      </c>
      <c r="B1208" t="s">
        <v>32</v>
      </c>
      <c r="C1208" t="s">
        <v>211</v>
      </c>
      <c r="D1208" t="s">
        <v>16</v>
      </c>
      <c r="E1208" t="s">
        <v>212</v>
      </c>
      <c r="F1208">
        <v>4980</v>
      </c>
      <c r="H1208">
        <f t="shared" si="42"/>
        <v>10</v>
      </c>
      <c r="I1208">
        <f t="shared" si="43"/>
        <v>2021</v>
      </c>
    </row>
    <row r="1209" spans="1:9" x14ac:dyDescent="0.3">
      <c r="A1209" s="1">
        <v>44478</v>
      </c>
      <c r="B1209" t="s">
        <v>352</v>
      </c>
      <c r="G1209">
        <v>840</v>
      </c>
      <c r="H1209">
        <f t="shared" si="42"/>
        <v>10</v>
      </c>
      <c r="I1209">
        <f t="shared" si="43"/>
        <v>2021</v>
      </c>
    </row>
    <row r="1210" spans="1:9" x14ac:dyDescent="0.3">
      <c r="A1210" s="1">
        <v>44478</v>
      </c>
      <c r="B1210" t="s">
        <v>352</v>
      </c>
      <c r="C1210" t="s">
        <v>211</v>
      </c>
      <c r="D1210" t="s">
        <v>12</v>
      </c>
      <c r="E1210" t="s">
        <v>79</v>
      </c>
      <c r="F1210">
        <v>840</v>
      </c>
      <c r="H1210">
        <f t="shared" si="42"/>
        <v>10</v>
      </c>
      <c r="I1210">
        <f t="shared" si="43"/>
        <v>2021</v>
      </c>
    </row>
    <row r="1211" spans="1:9" x14ac:dyDescent="0.3">
      <c r="A1211" s="1">
        <v>44482</v>
      </c>
      <c r="B1211" t="s">
        <v>10</v>
      </c>
      <c r="G1211">
        <v>25815</v>
      </c>
      <c r="H1211">
        <f t="shared" si="42"/>
        <v>10</v>
      </c>
      <c r="I1211">
        <f t="shared" si="43"/>
        <v>2021</v>
      </c>
    </row>
    <row r="1212" spans="1:9" x14ac:dyDescent="0.3">
      <c r="A1212" s="1">
        <v>44482</v>
      </c>
      <c r="B1212" t="s">
        <v>10</v>
      </c>
      <c r="C1212" t="s">
        <v>40</v>
      </c>
      <c r="D1212" t="s">
        <v>52</v>
      </c>
      <c r="E1212" t="s">
        <v>104</v>
      </c>
      <c r="F1212">
        <v>16500</v>
      </c>
      <c r="H1212">
        <f t="shared" si="42"/>
        <v>10</v>
      </c>
      <c r="I1212">
        <f t="shared" si="43"/>
        <v>2021</v>
      </c>
    </row>
    <row r="1213" spans="1:9" x14ac:dyDescent="0.3">
      <c r="A1213" s="1">
        <v>44482</v>
      </c>
      <c r="B1213" t="s">
        <v>10</v>
      </c>
      <c r="C1213" t="s">
        <v>11</v>
      </c>
      <c r="D1213" t="s">
        <v>37</v>
      </c>
      <c r="E1213" t="s">
        <v>13</v>
      </c>
      <c r="F1213">
        <v>3450</v>
      </c>
      <c r="H1213">
        <f t="shared" si="42"/>
        <v>10</v>
      </c>
      <c r="I1213">
        <f t="shared" si="43"/>
        <v>2021</v>
      </c>
    </row>
    <row r="1214" spans="1:9" x14ac:dyDescent="0.3">
      <c r="A1214" s="1">
        <v>44482</v>
      </c>
      <c r="B1214" t="s">
        <v>10</v>
      </c>
      <c r="C1214" t="s">
        <v>38</v>
      </c>
      <c r="D1214" t="s">
        <v>25</v>
      </c>
      <c r="E1214" t="s">
        <v>13</v>
      </c>
      <c r="F1214">
        <v>1725</v>
      </c>
      <c r="H1214">
        <f t="shared" si="42"/>
        <v>10</v>
      </c>
      <c r="I1214">
        <f t="shared" si="43"/>
        <v>2021</v>
      </c>
    </row>
    <row r="1215" spans="1:9" x14ac:dyDescent="0.3">
      <c r="A1215" s="1">
        <v>44482</v>
      </c>
      <c r="B1215" t="s">
        <v>10</v>
      </c>
      <c r="C1215" t="s">
        <v>324</v>
      </c>
      <c r="D1215" t="s">
        <v>16</v>
      </c>
      <c r="E1215" t="s">
        <v>13</v>
      </c>
      <c r="F1215">
        <v>4140</v>
      </c>
      <c r="H1215">
        <f t="shared" si="42"/>
        <v>10</v>
      </c>
      <c r="I1215">
        <f t="shared" si="43"/>
        <v>2021</v>
      </c>
    </row>
    <row r="1216" spans="1:9" x14ac:dyDescent="0.3">
      <c r="A1216" s="1">
        <v>44482</v>
      </c>
      <c r="B1216" t="s">
        <v>8</v>
      </c>
      <c r="G1216">
        <v>25125</v>
      </c>
      <c r="H1216">
        <f t="shared" si="42"/>
        <v>10</v>
      </c>
      <c r="I1216">
        <f t="shared" si="43"/>
        <v>2021</v>
      </c>
    </row>
    <row r="1217" spans="1:9" x14ac:dyDescent="0.3">
      <c r="A1217" s="1">
        <v>44482</v>
      </c>
      <c r="B1217" t="s">
        <v>8</v>
      </c>
      <c r="C1217" t="s">
        <v>40</v>
      </c>
      <c r="D1217" t="s">
        <v>52</v>
      </c>
      <c r="E1217" t="s">
        <v>104</v>
      </c>
      <c r="F1217">
        <v>16500</v>
      </c>
      <c r="H1217">
        <f t="shared" si="42"/>
        <v>10</v>
      </c>
      <c r="I1217">
        <f t="shared" si="43"/>
        <v>2021</v>
      </c>
    </row>
    <row r="1218" spans="1:9" x14ac:dyDescent="0.3">
      <c r="A1218" s="1">
        <v>44482</v>
      </c>
      <c r="B1218" t="s">
        <v>8</v>
      </c>
      <c r="C1218" t="s">
        <v>38</v>
      </c>
      <c r="D1218" t="s">
        <v>61</v>
      </c>
      <c r="E1218" t="s">
        <v>13</v>
      </c>
      <c r="F1218">
        <v>5175</v>
      </c>
      <c r="H1218">
        <f t="shared" si="42"/>
        <v>10</v>
      </c>
      <c r="I1218">
        <f t="shared" si="43"/>
        <v>2021</v>
      </c>
    </row>
    <row r="1219" spans="1:9" x14ac:dyDescent="0.3">
      <c r="A1219" s="1">
        <v>44482</v>
      </c>
      <c r="B1219" t="s">
        <v>8</v>
      </c>
      <c r="C1219" t="s">
        <v>11</v>
      </c>
      <c r="D1219" t="s">
        <v>37</v>
      </c>
      <c r="E1219" t="s">
        <v>13</v>
      </c>
      <c r="F1219">
        <v>3450</v>
      </c>
      <c r="H1219">
        <f t="shared" si="42"/>
        <v>10</v>
      </c>
      <c r="I1219">
        <f t="shared" si="43"/>
        <v>2021</v>
      </c>
    </row>
    <row r="1220" spans="1:9" x14ac:dyDescent="0.3">
      <c r="A1220" s="1">
        <v>44482</v>
      </c>
      <c r="B1220" t="s">
        <v>3</v>
      </c>
      <c r="G1220">
        <v>7570</v>
      </c>
      <c r="H1220">
        <f t="shared" si="42"/>
        <v>10</v>
      </c>
      <c r="I1220">
        <f t="shared" si="43"/>
        <v>2021</v>
      </c>
    </row>
    <row r="1221" spans="1:9" x14ac:dyDescent="0.3">
      <c r="A1221" s="1">
        <v>44482</v>
      </c>
      <c r="B1221" t="s">
        <v>3</v>
      </c>
      <c r="C1221" t="s">
        <v>38</v>
      </c>
      <c r="D1221" t="s">
        <v>93</v>
      </c>
      <c r="E1221" t="s">
        <v>13</v>
      </c>
      <c r="F1221">
        <v>1380</v>
      </c>
      <c r="H1221">
        <f t="shared" si="42"/>
        <v>10</v>
      </c>
      <c r="I1221">
        <f t="shared" si="43"/>
        <v>2021</v>
      </c>
    </row>
    <row r="1222" spans="1:9" x14ac:dyDescent="0.3">
      <c r="A1222" s="1">
        <v>44482</v>
      </c>
      <c r="B1222" t="s">
        <v>3</v>
      </c>
      <c r="C1222" t="s">
        <v>98</v>
      </c>
      <c r="D1222" t="s">
        <v>5</v>
      </c>
      <c r="E1222" t="s">
        <v>99</v>
      </c>
      <c r="F1222">
        <v>540</v>
      </c>
      <c r="H1222">
        <f t="shared" si="42"/>
        <v>10</v>
      </c>
      <c r="I1222">
        <f t="shared" si="43"/>
        <v>2021</v>
      </c>
    </row>
    <row r="1223" spans="1:9" x14ac:dyDescent="0.3">
      <c r="A1223" s="1">
        <v>44482</v>
      </c>
      <c r="B1223" t="s">
        <v>3</v>
      </c>
      <c r="C1223" t="s">
        <v>40</v>
      </c>
      <c r="D1223" t="s">
        <v>37</v>
      </c>
      <c r="E1223" t="s">
        <v>104</v>
      </c>
      <c r="F1223">
        <v>3300</v>
      </c>
      <c r="H1223">
        <f t="shared" si="42"/>
        <v>10</v>
      </c>
      <c r="I1223">
        <f t="shared" si="43"/>
        <v>2021</v>
      </c>
    </row>
    <row r="1224" spans="1:9" x14ac:dyDescent="0.3">
      <c r="A1224" s="1">
        <v>44482</v>
      </c>
      <c r="B1224" t="s">
        <v>3</v>
      </c>
      <c r="C1224" t="s">
        <v>38</v>
      </c>
      <c r="D1224" t="s">
        <v>12</v>
      </c>
      <c r="E1224" t="s">
        <v>100</v>
      </c>
      <c r="F1224">
        <v>700</v>
      </c>
      <c r="H1224">
        <f t="shared" si="42"/>
        <v>10</v>
      </c>
      <c r="I1224">
        <f t="shared" si="43"/>
        <v>2021</v>
      </c>
    </row>
    <row r="1225" spans="1:9" x14ac:dyDescent="0.3">
      <c r="A1225" s="1">
        <v>44482</v>
      </c>
      <c r="B1225" t="s">
        <v>3</v>
      </c>
      <c r="C1225" t="s">
        <v>40</v>
      </c>
      <c r="D1225" t="s">
        <v>25</v>
      </c>
      <c r="E1225" t="s">
        <v>104</v>
      </c>
      <c r="F1225">
        <v>1650</v>
      </c>
      <c r="H1225">
        <f t="shared" si="42"/>
        <v>10</v>
      </c>
      <c r="I1225">
        <f t="shared" si="43"/>
        <v>2021</v>
      </c>
    </row>
    <row r="1226" spans="1:9" x14ac:dyDescent="0.3">
      <c r="A1226" s="1">
        <v>44482</v>
      </c>
      <c r="B1226" t="s">
        <v>8</v>
      </c>
      <c r="G1226">
        <v>8850</v>
      </c>
      <c r="H1226">
        <f t="shared" si="42"/>
        <v>10</v>
      </c>
      <c r="I1226">
        <f t="shared" si="43"/>
        <v>2021</v>
      </c>
    </row>
    <row r="1227" spans="1:9" x14ac:dyDescent="0.3">
      <c r="A1227" s="1">
        <v>44482</v>
      </c>
      <c r="B1227" t="s">
        <v>8</v>
      </c>
      <c r="C1227" t="s">
        <v>359</v>
      </c>
      <c r="D1227" t="s">
        <v>61</v>
      </c>
      <c r="E1227" t="s">
        <v>77</v>
      </c>
      <c r="F1227">
        <v>8850</v>
      </c>
      <c r="H1227">
        <f t="shared" si="42"/>
        <v>10</v>
      </c>
      <c r="I1227">
        <f t="shared" si="43"/>
        <v>2021</v>
      </c>
    </row>
    <row r="1228" spans="1:9" x14ac:dyDescent="0.3">
      <c r="A1228" s="1">
        <v>44482</v>
      </c>
      <c r="B1228" t="s">
        <v>48</v>
      </c>
      <c r="G1228">
        <v>3300</v>
      </c>
      <c r="H1228">
        <f t="shared" si="42"/>
        <v>10</v>
      </c>
      <c r="I1228">
        <f t="shared" si="43"/>
        <v>2021</v>
      </c>
    </row>
    <row r="1229" spans="1:9" x14ac:dyDescent="0.3">
      <c r="A1229" s="1">
        <v>44482</v>
      </c>
      <c r="B1229" t="s">
        <v>48</v>
      </c>
      <c r="C1229" t="s">
        <v>40</v>
      </c>
      <c r="D1229" t="s">
        <v>37</v>
      </c>
      <c r="E1229" t="s">
        <v>104</v>
      </c>
      <c r="F1229">
        <v>3300</v>
      </c>
      <c r="H1229">
        <f t="shared" si="42"/>
        <v>10</v>
      </c>
      <c r="I1229">
        <f t="shared" si="43"/>
        <v>2021</v>
      </c>
    </row>
    <row r="1230" spans="1:9" x14ac:dyDescent="0.3">
      <c r="A1230" s="1">
        <v>44482</v>
      </c>
      <c r="B1230" t="s">
        <v>75</v>
      </c>
      <c r="G1230">
        <v>2950</v>
      </c>
      <c r="H1230">
        <f t="shared" si="42"/>
        <v>10</v>
      </c>
      <c r="I1230">
        <f t="shared" si="43"/>
        <v>2021</v>
      </c>
    </row>
    <row r="1231" spans="1:9" x14ac:dyDescent="0.3">
      <c r="A1231" s="1">
        <v>44482</v>
      </c>
      <c r="B1231" t="s">
        <v>75</v>
      </c>
      <c r="C1231" t="s">
        <v>359</v>
      </c>
      <c r="D1231" t="s">
        <v>25</v>
      </c>
      <c r="E1231" t="s">
        <v>77</v>
      </c>
      <c r="F1231">
        <v>2950</v>
      </c>
      <c r="H1231">
        <f t="shared" si="42"/>
        <v>10</v>
      </c>
      <c r="I1231">
        <f t="shared" si="43"/>
        <v>2021</v>
      </c>
    </row>
    <row r="1232" spans="1:9" x14ac:dyDescent="0.3">
      <c r="A1232" s="1">
        <v>44483</v>
      </c>
      <c r="B1232" t="s">
        <v>234</v>
      </c>
      <c r="G1232">
        <v>31400</v>
      </c>
      <c r="H1232">
        <f t="shared" si="42"/>
        <v>10</v>
      </c>
      <c r="I1232">
        <f t="shared" si="43"/>
        <v>2021</v>
      </c>
    </row>
    <row r="1233" spans="1:9" x14ac:dyDescent="0.3">
      <c r="A1233" s="1">
        <v>44483</v>
      </c>
      <c r="B1233" t="s">
        <v>234</v>
      </c>
      <c r="C1233" t="s">
        <v>94</v>
      </c>
      <c r="D1233" t="s">
        <v>244</v>
      </c>
      <c r="E1233" t="s">
        <v>186</v>
      </c>
      <c r="F1233">
        <v>5700</v>
      </c>
      <c r="H1233">
        <f t="shared" si="42"/>
        <v>10</v>
      </c>
      <c r="I1233">
        <f t="shared" si="43"/>
        <v>2021</v>
      </c>
    </row>
    <row r="1234" spans="1:9" x14ac:dyDescent="0.3">
      <c r="A1234" s="1">
        <v>44483</v>
      </c>
      <c r="B1234" t="s">
        <v>234</v>
      </c>
      <c r="C1234" t="s">
        <v>108</v>
      </c>
      <c r="D1234" t="s">
        <v>93</v>
      </c>
      <c r="E1234" t="s">
        <v>99</v>
      </c>
      <c r="F1234">
        <v>2160</v>
      </c>
      <c r="H1234">
        <f t="shared" si="42"/>
        <v>10</v>
      </c>
      <c r="I1234">
        <f t="shared" si="43"/>
        <v>2021</v>
      </c>
    </row>
    <row r="1235" spans="1:9" x14ac:dyDescent="0.3">
      <c r="A1235" s="1">
        <v>44483</v>
      </c>
      <c r="B1235" t="s">
        <v>234</v>
      </c>
      <c r="C1235" t="s">
        <v>133</v>
      </c>
      <c r="D1235" t="s">
        <v>12</v>
      </c>
      <c r="E1235" t="s">
        <v>99</v>
      </c>
      <c r="F1235">
        <v>1080</v>
      </c>
      <c r="H1235">
        <f t="shared" si="42"/>
        <v>10</v>
      </c>
      <c r="I1235">
        <f t="shared" si="43"/>
        <v>2021</v>
      </c>
    </row>
    <row r="1236" spans="1:9" x14ac:dyDescent="0.3">
      <c r="A1236" s="1">
        <v>44483</v>
      </c>
      <c r="B1236" t="s">
        <v>234</v>
      </c>
      <c r="C1236" t="s">
        <v>134</v>
      </c>
      <c r="D1236" t="s">
        <v>12</v>
      </c>
      <c r="E1236" t="s">
        <v>99</v>
      </c>
      <c r="F1236">
        <v>1080</v>
      </c>
      <c r="H1236">
        <f t="shared" si="42"/>
        <v>10</v>
      </c>
      <c r="I1236">
        <f t="shared" si="43"/>
        <v>2021</v>
      </c>
    </row>
    <row r="1237" spans="1:9" x14ac:dyDescent="0.3">
      <c r="A1237" s="1">
        <v>44483</v>
      </c>
      <c r="B1237" t="s">
        <v>234</v>
      </c>
      <c r="C1237" t="s">
        <v>135</v>
      </c>
      <c r="D1237" t="s">
        <v>5</v>
      </c>
      <c r="E1237" t="s">
        <v>35</v>
      </c>
      <c r="F1237">
        <v>620</v>
      </c>
      <c r="H1237">
        <f t="shared" si="42"/>
        <v>10</v>
      </c>
      <c r="I1237">
        <f t="shared" si="43"/>
        <v>2021</v>
      </c>
    </row>
    <row r="1238" spans="1:9" x14ac:dyDescent="0.3">
      <c r="A1238" s="1">
        <v>44483</v>
      </c>
      <c r="B1238" t="s">
        <v>234</v>
      </c>
      <c r="C1238" t="s">
        <v>40</v>
      </c>
      <c r="D1238" t="s">
        <v>39</v>
      </c>
      <c r="E1238" t="s">
        <v>104</v>
      </c>
      <c r="F1238">
        <v>9900</v>
      </c>
      <c r="H1238">
        <f t="shared" si="42"/>
        <v>10</v>
      </c>
      <c r="I1238">
        <f t="shared" si="43"/>
        <v>2021</v>
      </c>
    </row>
    <row r="1239" spans="1:9" x14ac:dyDescent="0.3">
      <c r="A1239" s="1">
        <v>44483</v>
      </c>
      <c r="B1239" t="s">
        <v>234</v>
      </c>
      <c r="C1239" t="s">
        <v>38</v>
      </c>
      <c r="D1239" t="s">
        <v>37</v>
      </c>
      <c r="E1239" t="s">
        <v>13</v>
      </c>
      <c r="F1239">
        <v>3450</v>
      </c>
      <c r="H1239">
        <f t="shared" si="42"/>
        <v>10</v>
      </c>
      <c r="I1239">
        <f t="shared" si="43"/>
        <v>2021</v>
      </c>
    </row>
    <row r="1240" spans="1:9" x14ac:dyDescent="0.3">
      <c r="A1240" s="1">
        <v>44483</v>
      </c>
      <c r="B1240" t="s">
        <v>234</v>
      </c>
      <c r="C1240" t="s">
        <v>11</v>
      </c>
      <c r="D1240" t="s">
        <v>37</v>
      </c>
      <c r="E1240" t="s">
        <v>13</v>
      </c>
      <c r="F1240">
        <v>3450</v>
      </c>
      <c r="H1240">
        <f t="shared" si="42"/>
        <v>10</v>
      </c>
      <c r="I1240">
        <f t="shared" si="43"/>
        <v>2021</v>
      </c>
    </row>
    <row r="1241" spans="1:9" x14ac:dyDescent="0.3">
      <c r="A1241" s="1">
        <v>44483</v>
      </c>
      <c r="B1241" t="s">
        <v>234</v>
      </c>
      <c r="C1241" t="s">
        <v>324</v>
      </c>
      <c r="D1241" t="s">
        <v>93</v>
      </c>
      <c r="E1241" t="s">
        <v>13</v>
      </c>
      <c r="F1241">
        <v>1380</v>
      </c>
      <c r="H1241">
        <f t="shared" si="42"/>
        <v>10</v>
      </c>
      <c r="I1241">
        <f t="shared" si="43"/>
        <v>2021</v>
      </c>
    </row>
    <row r="1242" spans="1:9" x14ac:dyDescent="0.3">
      <c r="A1242" s="1">
        <v>44483</v>
      </c>
      <c r="B1242" t="s">
        <v>234</v>
      </c>
      <c r="C1242" t="s">
        <v>325</v>
      </c>
      <c r="D1242" t="s">
        <v>93</v>
      </c>
      <c r="E1242" t="s">
        <v>13</v>
      </c>
      <c r="F1242">
        <v>1380</v>
      </c>
      <c r="H1242">
        <f t="shared" si="42"/>
        <v>10</v>
      </c>
      <c r="I1242">
        <f t="shared" si="43"/>
        <v>2021</v>
      </c>
    </row>
    <row r="1243" spans="1:9" x14ac:dyDescent="0.3">
      <c r="A1243" s="1">
        <v>44483</v>
      </c>
      <c r="B1243" t="s">
        <v>234</v>
      </c>
      <c r="C1243" t="s">
        <v>359</v>
      </c>
      <c r="D1243" t="s">
        <v>12</v>
      </c>
      <c r="E1243" t="s">
        <v>160</v>
      </c>
      <c r="F1243">
        <v>1200</v>
      </c>
      <c r="H1243">
        <f t="shared" ref="H1243:H1302" si="44">MONTH(A1243)</f>
        <v>10</v>
      </c>
      <c r="I1243">
        <f t="shared" ref="I1243:I1302" si="45">YEAR(A1243)</f>
        <v>2021</v>
      </c>
    </row>
    <row r="1244" spans="1:9" x14ac:dyDescent="0.3">
      <c r="A1244" s="1">
        <v>44483</v>
      </c>
      <c r="B1244" t="s">
        <v>48</v>
      </c>
      <c r="G1244">
        <v>3300</v>
      </c>
      <c r="H1244">
        <f t="shared" si="44"/>
        <v>10</v>
      </c>
      <c r="I1244">
        <f t="shared" si="45"/>
        <v>2021</v>
      </c>
    </row>
    <row r="1245" spans="1:9" x14ac:dyDescent="0.3">
      <c r="A1245" s="1">
        <v>44483</v>
      </c>
      <c r="B1245" t="s">
        <v>48</v>
      </c>
      <c r="C1245" t="s">
        <v>40</v>
      </c>
      <c r="D1245" t="s">
        <v>37</v>
      </c>
      <c r="E1245" t="s">
        <v>104</v>
      </c>
      <c r="F1245">
        <v>3300</v>
      </c>
      <c r="H1245">
        <f t="shared" si="44"/>
        <v>10</v>
      </c>
      <c r="I1245">
        <f t="shared" si="45"/>
        <v>2021</v>
      </c>
    </row>
    <row r="1246" spans="1:9" x14ac:dyDescent="0.3">
      <c r="A1246" s="1">
        <v>44484</v>
      </c>
      <c r="B1246" t="s">
        <v>8</v>
      </c>
      <c r="G1246">
        <v>1725</v>
      </c>
      <c r="H1246">
        <f t="shared" si="44"/>
        <v>10</v>
      </c>
      <c r="I1246">
        <f t="shared" si="45"/>
        <v>2021</v>
      </c>
    </row>
    <row r="1247" spans="1:9" x14ac:dyDescent="0.3">
      <c r="A1247" s="1">
        <v>44484</v>
      </c>
      <c r="B1247" t="s">
        <v>8</v>
      </c>
      <c r="C1247" t="s">
        <v>38</v>
      </c>
      <c r="D1247" t="s">
        <v>25</v>
      </c>
      <c r="E1247" t="s">
        <v>13</v>
      </c>
      <c r="F1247">
        <v>1725</v>
      </c>
      <c r="H1247">
        <f t="shared" si="44"/>
        <v>10</v>
      </c>
      <c r="I1247">
        <f t="shared" si="45"/>
        <v>2021</v>
      </c>
    </row>
    <row r="1248" spans="1:9" x14ac:dyDescent="0.3">
      <c r="A1248" s="1">
        <v>44487</v>
      </c>
      <c r="B1248" t="s">
        <v>83</v>
      </c>
      <c r="G1248">
        <v>12750</v>
      </c>
      <c r="H1248">
        <f t="shared" si="44"/>
        <v>10</v>
      </c>
      <c r="I1248">
        <f t="shared" si="45"/>
        <v>2021</v>
      </c>
    </row>
    <row r="1249" spans="1:9" x14ac:dyDescent="0.3">
      <c r="A1249" s="1">
        <v>44487</v>
      </c>
      <c r="B1249" t="s">
        <v>83</v>
      </c>
      <c r="C1249" t="s">
        <v>40</v>
      </c>
      <c r="D1249" t="s">
        <v>39</v>
      </c>
      <c r="E1249" t="s">
        <v>104</v>
      </c>
      <c r="F1249">
        <v>9900</v>
      </c>
      <c r="H1249">
        <f t="shared" si="44"/>
        <v>10</v>
      </c>
      <c r="I1249">
        <f t="shared" si="45"/>
        <v>2021</v>
      </c>
    </row>
    <row r="1250" spans="1:9" x14ac:dyDescent="0.3">
      <c r="A1250" s="1">
        <v>44487</v>
      </c>
      <c r="B1250" t="s">
        <v>83</v>
      </c>
      <c r="C1250" t="s">
        <v>94</v>
      </c>
      <c r="D1250" t="s">
        <v>184</v>
      </c>
      <c r="E1250" t="s">
        <v>186</v>
      </c>
      <c r="F1250">
        <v>2850</v>
      </c>
      <c r="H1250">
        <f t="shared" si="44"/>
        <v>10</v>
      </c>
      <c r="I1250">
        <f t="shared" si="45"/>
        <v>2021</v>
      </c>
    </row>
    <row r="1251" spans="1:9" x14ac:dyDescent="0.3">
      <c r="A1251" s="1">
        <v>44487</v>
      </c>
      <c r="B1251" t="s">
        <v>97</v>
      </c>
      <c r="G1251">
        <v>9040</v>
      </c>
      <c r="H1251">
        <f t="shared" si="44"/>
        <v>10</v>
      </c>
      <c r="I1251">
        <f t="shared" si="45"/>
        <v>2021</v>
      </c>
    </row>
    <row r="1252" spans="1:9" x14ac:dyDescent="0.3">
      <c r="A1252" s="1">
        <v>44487</v>
      </c>
      <c r="B1252" t="s">
        <v>97</v>
      </c>
      <c r="C1252" t="s">
        <v>40</v>
      </c>
      <c r="D1252" t="s">
        <v>25</v>
      </c>
      <c r="E1252" t="s">
        <v>117</v>
      </c>
      <c r="F1252">
        <v>1675</v>
      </c>
      <c r="H1252">
        <f t="shared" si="44"/>
        <v>10</v>
      </c>
      <c r="I1252">
        <f t="shared" si="45"/>
        <v>2021</v>
      </c>
    </row>
    <row r="1253" spans="1:9" x14ac:dyDescent="0.3">
      <c r="A1253" s="1">
        <v>44487</v>
      </c>
      <c r="B1253" t="s">
        <v>97</v>
      </c>
      <c r="C1253" t="s">
        <v>94</v>
      </c>
      <c r="D1253" t="s">
        <v>174</v>
      </c>
      <c r="E1253" t="s">
        <v>263</v>
      </c>
      <c r="F1253">
        <v>975</v>
      </c>
      <c r="H1253">
        <f t="shared" si="44"/>
        <v>10</v>
      </c>
      <c r="I1253">
        <f t="shared" si="45"/>
        <v>2021</v>
      </c>
    </row>
    <row r="1254" spans="1:9" x14ac:dyDescent="0.3">
      <c r="A1254" s="1">
        <v>44487</v>
      </c>
      <c r="B1254" t="s">
        <v>97</v>
      </c>
      <c r="C1254" t="s">
        <v>324</v>
      </c>
      <c r="D1254" t="s">
        <v>93</v>
      </c>
      <c r="E1254" t="s">
        <v>100</v>
      </c>
      <c r="F1254">
        <v>1400</v>
      </c>
      <c r="H1254">
        <f t="shared" si="44"/>
        <v>10</v>
      </c>
      <c r="I1254">
        <f t="shared" si="45"/>
        <v>2021</v>
      </c>
    </row>
    <row r="1255" spans="1:9" x14ac:dyDescent="0.3">
      <c r="A1255" s="1">
        <v>44487</v>
      </c>
      <c r="B1255" t="s">
        <v>97</v>
      </c>
      <c r="C1255" t="s">
        <v>325</v>
      </c>
      <c r="D1255" t="s">
        <v>93</v>
      </c>
      <c r="E1255" t="s">
        <v>100</v>
      </c>
      <c r="F1255">
        <v>1400</v>
      </c>
      <c r="H1255">
        <f t="shared" si="44"/>
        <v>10</v>
      </c>
      <c r="I1255">
        <f t="shared" si="45"/>
        <v>2021</v>
      </c>
    </row>
    <row r="1256" spans="1:9" x14ac:dyDescent="0.3">
      <c r="A1256" s="1">
        <v>44487</v>
      </c>
      <c r="B1256" t="s">
        <v>97</v>
      </c>
      <c r="C1256" t="s">
        <v>108</v>
      </c>
      <c r="D1256" t="s">
        <v>23</v>
      </c>
      <c r="E1256" t="s">
        <v>99</v>
      </c>
      <c r="F1256">
        <v>1620</v>
      </c>
      <c r="H1256">
        <f t="shared" si="44"/>
        <v>10</v>
      </c>
      <c r="I1256">
        <f t="shared" si="45"/>
        <v>2021</v>
      </c>
    </row>
    <row r="1257" spans="1:9" x14ac:dyDescent="0.3">
      <c r="A1257" s="1">
        <v>44487</v>
      </c>
      <c r="B1257" t="s">
        <v>97</v>
      </c>
      <c r="C1257" t="s">
        <v>243</v>
      </c>
      <c r="D1257" t="s">
        <v>5</v>
      </c>
      <c r="E1257" t="s">
        <v>229</v>
      </c>
      <c r="F1257">
        <v>645</v>
      </c>
      <c r="H1257">
        <f t="shared" si="44"/>
        <v>10</v>
      </c>
      <c r="I1257">
        <f t="shared" si="45"/>
        <v>2021</v>
      </c>
    </row>
    <row r="1258" spans="1:9" x14ac:dyDescent="0.3">
      <c r="A1258" s="1">
        <v>44487</v>
      </c>
      <c r="B1258" t="s">
        <v>97</v>
      </c>
      <c r="C1258" t="s">
        <v>359</v>
      </c>
      <c r="D1258" t="s">
        <v>5</v>
      </c>
      <c r="E1258" t="s">
        <v>160</v>
      </c>
      <c r="F1258">
        <v>600</v>
      </c>
      <c r="H1258">
        <f t="shared" si="44"/>
        <v>10</v>
      </c>
      <c r="I1258">
        <f t="shared" si="45"/>
        <v>2021</v>
      </c>
    </row>
    <row r="1259" spans="1:9" x14ac:dyDescent="0.3">
      <c r="A1259" s="1">
        <v>44487</v>
      </c>
      <c r="B1259" t="s">
        <v>97</v>
      </c>
      <c r="C1259" t="s">
        <v>11</v>
      </c>
      <c r="D1259" t="s">
        <v>23</v>
      </c>
      <c r="E1259" t="s">
        <v>100</v>
      </c>
      <c r="F1259">
        <v>1050</v>
      </c>
      <c r="H1259">
        <f t="shared" si="44"/>
        <v>10</v>
      </c>
      <c r="I1259">
        <f t="shared" si="45"/>
        <v>2021</v>
      </c>
    </row>
    <row r="1260" spans="1:9" x14ac:dyDescent="0.3">
      <c r="A1260" s="1">
        <v>44487</v>
      </c>
      <c r="B1260" t="s">
        <v>24</v>
      </c>
      <c r="G1260">
        <v>-325</v>
      </c>
      <c r="H1260">
        <f t="shared" si="44"/>
        <v>10</v>
      </c>
      <c r="I1260">
        <f t="shared" si="45"/>
        <v>2021</v>
      </c>
    </row>
    <row r="1261" spans="1:9" x14ac:dyDescent="0.3">
      <c r="A1261" s="1">
        <v>44487</v>
      </c>
      <c r="B1261" t="s">
        <v>96</v>
      </c>
      <c r="G1261">
        <v>600</v>
      </c>
      <c r="H1261">
        <f t="shared" si="44"/>
        <v>10</v>
      </c>
      <c r="I1261">
        <f t="shared" si="45"/>
        <v>2021</v>
      </c>
    </row>
    <row r="1262" spans="1:9" x14ac:dyDescent="0.3">
      <c r="A1262" s="1">
        <v>44487</v>
      </c>
      <c r="B1262" t="s">
        <v>96</v>
      </c>
      <c r="C1262" t="s">
        <v>359</v>
      </c>
      <c r="D1262" t="s">
        <v>5</v>
      </c>
      <c r="E1262" t="s">
        <v>160</v>
      </c>
      <c r="F1262">
        <v>600</v>
      </c>
      <c r="H1262">
        <f t="shared" si="44"/>
        <v>10</v>
      </c>
      <c r="I1262">
        <f t="shared" si="45"/>
        <v>2021</v>
      </c>
    </row>
    <row r="1263" spans="1:9" x14ac:dyDescent="0.3">
      <c r="A1263" s="1">
        <v>44487</v>
      </c>
      <c r="B1263" t="s">
        <v>45</v>
      </c>
      <c r="G1263">
        <v>600</v>
      </c>
      <c r="H1263">
        <f t="shared" si="44"/>
        <v>10</v>
      </c>
      <c r="I1263">
        <f t="shared" si="45"/>
        <v>2021</v>
      </c>
    </row>
    <row r="1264" spans="1:9" x14ac:dyDescent="0.3">
      <c r="A1264" s="1">
        <v>44487</v>
      </c>
      <c r="B1264" t="s">
        <v>45</v>
      </c>
      <c r="C1264" t="s">
        <v>359</v>
      </c>
      <c r="D1264" t="s">
        <v>5</v>
      </c>
      <c r="E1264" t="s">
        <v>160</v>
      </c>
      <c r="F1264">
        <v>600</v>
      </c>
      <c r="H1264">
        <f t="shared" si="44"/>
        <v>10</v>
      </c>
      <c r="I1264">
        <f t="shared" si="45"/>
        <v>2021</v>
      </c>
    </row>
    <row r="1265" spans="1:9" x14ac:dyDescent="0.3">
      <c r="A1265" s="1">
        <v>44488</v>
      </c>
      <c r="B1265" t="s">
        <v>64</v>
      </c>
      <c r="G1265">
        <v>2760</v>
      </c>
      <c r="H1265">
        <f t="shared" si="44"/>
        <v>10</v>
      </c>
      <c r="I1265">
        <f t="shared" si="45"/>
        <v>2021</v>
      </c>
    </row>
    <row r="1266" spans="1:9" x14ac:dyDescent="0.3">
      <c r="A1266" s="1">
        <v>44488</v>
      </c>
      <c r="B1266" t="s">
        <v>64</v>
      </c>
      <c r="C1266" t="s">
        <v>324</v>
      </c>
      <c r="D1266" t="s">
        <v>93</v>
      </c>
      <c r="E1266" t="s">
        <v>13</v>
      </c>
      <c r="F1266">
        <v>1380</v>
      </c>
      <c r="H1266">
        <f t="shared" si="44"/>
        <v>10</v>
      </c>
      <c r="I1266">
        <f t="shared" si="45"/>
        <v>2021</v>
      </c>
    </row>
    <row r="1267" spans="1:9" x14ac:dyDescent="0.3">
      <c r="A1267" s="1">
        <v>44488</v>
      </c>
      <c r="B1267" t="s">
        <v>64</v>
      </c>
      <c r="C1267" t="s">
        <v>325</v>
      </c>
      <c r="D1267" t="s">
        <v>93</v>
      </c>
      <c r="E1267" t="s">
        <v>13</v>
      </c>
      <c r="F1267">
        <v>1380</v>
      </c>
      <c r="H1267">
        <f t="shared" si="44"/>
        <v>10</v>
      </c>
      <c r="I1267">
        <f t="shared" si="45"/>
        <v>2021</v>
      </c>
    </row>
    <row r="1268" spans="1:9" x14ac:dyDescent="0.3">
      <c r="A1268" s="1">
        <v>44488</v>
      </c>
      <c r="B1268" t="s">
        <v>45</v>
      </c>
      <c r="G1268">
        <v>9900</v>
      </c>
      <c r="H1268">
        <f t="shared" si="44"/>
        <v>10</v>
      </c>
      <c r="I1268">
        <f t="shared" si="45"/>
        <v>2021</v>
      </c>
    </row>
    <row r="1269" spans="1:9" x14ac:dyDescent="0.3">
      <c r="A1269" s="1">
        <v>44488</v>
      </c>
      <c r="B1269" t="s">
        <v>45</v>
      </c>
      <c r="C1269" t="s">
        <v>40</v>
      </c>
      <c r="D1269" t="s">
        <v>39</v>
      </c>
      <c r="E1269" t="s">
        <v>104</v>
      </c>
      <c r="F1269">
        <v>9900</v>
      </c>
      <c r="H1269">
        <f t="shared" si="44"/>
        <v>10</v>
      </c>
      <c r="I1269">
        <f t="shared" si="45"/>
        <v>2021</v>
      </c>
    </row>
    <row r="1270" spans="1:9" x14ac:dyDescent="0.3">
      <c r="A1270" s="1">
        <v>44488</v>
      </c>
      <c r="B1270" t="s">
        <v>64</v>
      </c>
      <c r="G1270">
        <v>3300</v>
      </c>
      <c r="H1270">
        <f t="shared" si="44"/>
        <v>10</v>
      </c>
      <c r="I1270">
        <f t="shared" si="45"/>
        <v>2021</v>
      </c>
    </row>
    <row r="1271" spans="1:9" x14ac:dyDescent="0.3">
      <c r="A1271" s="1">
        <v>44488</v>
      </c>
      <c r="B1271" t="s">
        <v>64</v>
      </c>
      <c r="C1271" t="s">
        <v>40</v>
      </c>
      <c r="D1271" t="s">
        <v>37</v>
      </c>
      <c r="E1271" t="s">
        <v>104</v>
      </c>
      <c r="F1271">
        <v>3300</v>
      </c>
      <c r="H1271">
        <f t="shared" si="44"/>
        <v>10</v>
      </c>
      <c r="I1271">
        <f t="shared" si="45"/>
        <v>2021</v>
      </c>
    </row>
    <row r="1272" spans="1:9" x14ac:dyDescent="0.3">
      <c r="A1272" s="1">
        <v>44488</v>
      </c>
      <c r="B1272" t="s">
        <v>75</v>
      </c>
      <c r="G1272">
        <v>4130</v>
      </c>
      <c r="H1272">
        <f t="shared" si="44"/>
        <v>10</v>
      </c>
      <c r="I1272">
        <f t="shared" si="45"/>
        <v>2021</v>
      </c>
    </row>
    <row r="1273" spans="1:9" x14ac:dyDescent="0.3">
      <c r="A1273" s="1">
        <v>44488</v>
      </c>
      <c r="B1273" t="s">
        <v>75</v>
      </c>
      <c r="C1273" t="s">
        <v>359</v>
      </c>
      <c r="D1273" t="s">
        <v>30</v>
      </c>
      <c r="E1273" t="s">
        <v>77</v>
      </c>
      <c r="F1273">
        <v>4130</v>
      </c>
      <c r="H1273">
        <f t="shared" si="44"/>
        <v>10</v>
      </c>
      <c r="I1273">
        <f t="shared" si="45"/>
        <v>2021</v>
      </c>
    </row>
    <row r="1274" spans="1:9" x14ac:dyDescent="0.3">
      <c r="A1274" s="1">
        <v>44490</v>
      </c>
      <c r="B1274" t="s">
        <v>3</v>
      </c>
      <c r="G1274">
        <v>2000</v>
      </c>
      <c r="H1274">
        <f t="shared" si="44"/>
        <v>10</v>
      </c>
      <c r="I1274">
        <f t="shared" si="45"/>
        <v>2021</v>
      </c>
    </row>
    <row r="1275" spans="1:9" x14ac:dyDescent="0.3">
      <c r="A1275" s="1">
        <v>44490</v>
      </c>
      <c r="B1275" t="s">
        <v>3</v>
      </c>
      <c r="C1275" t="s">
        <v>40</v>
      </c>
      <c r="D1275" t="s">
        <v>23</v>
      </c>
      <c r="E1275" t="s">
        <v>185</v>
      </c>
      <c r="F1275">
        <v>1000</v>
      </c>
      <c r="H1275">
        <f t="shared" si="44"/>
        <v>10</v>
      </c>
      <c r="I1275">
        <f t="shared" si="45"/>
        <v>2021</v>
      </c>
    </row>
    <row r="1276" spans="1:9" x14ac:dyDescent="0.3">
      <c r="A1276" s="1">
        <v>44490</v>
      </c>
      <c r="B1276" t="s">
        <v>3</v>
      </c>
      <c r="C1276" t="s">
        <v>40</v>
      </c>
      <c r="D1276" t="s">
        <v>12</v>
      </c>
      <c r="E1276" t="s">
        <v>104</v>
      </c>
      <c r="F1276">
        <v>660</v>
      </c>
      <c r="H1276">
        <f t="shared" si="44"/>
        <v>10</v>
      </c>
      <c r="I1276">
        <f t="shared" si="45"/>
        <v>2021</v>
      </c>
    </row>
    <row r="1277" spans="1:9" x14ac:dyDescent="0.3">
      <c r="A1277" s="1">
        <v>44490</v>
      </c>
      <c r="B1277" t="s">
        <v>3</v>
      </c>
      <c r="C1277" t="s">
        <v>38</v>
      </c>
      <c r="D1277" t="s">
        <v>5</v>
      </c>
      <c r="E1277" t="s">
        <v>118</v>
      </c>
      <c r="F1277">
        <v>340</v>
      </c>
      <c r="H1277">
        <f t="shared" si="44"/>
        <v>10</v>
      </c>
      <c r="I1277">
        <f t="shared" si="45"/>
        <v>2021</v>
      </c>
    </row>
    <row r="1278" spans="1:9" x14ac:dyDescent="0.3">
      <c r="A1278" s="1">
        <v>44490</v>
      </c>
      <c r="B1278" t="s">
        <v>8</v>
      </c>
      <c r="G1278">
        <v>8850</v>
      </c>
      <c r="H1278">
        <f t="shared" si="44"/>
        <v>10</v>
      </c>
      <c r="I1278">
        <f t="shared" si="45"/>
        <v>2021</v>
      </c>
    </row>
    <row r="1279" spans="1:9" x14ac:dyDescent="0.3">
      <c r="A1279" s="1">
        <v>44490</v>
      </c>
      <c r="B1279" t="s">
        <v>8</v>
      </c>
      <c r="C1279" t="s">
        <v>359</v>
      </c>
      <c r="D1279" t="s">
        <v>61</v>
      </c>
      <c r="E1279" t="s">
        <v>77</v>
      </c>
      <c r="F1279">
        <v>8850</v>
      </c>
      <c r="H1279">
        <f t="shared" si="44"/>
        <v>10</v>
      </c>
      <c r="I1279">
        <f t="shared" si="45"/>
        <v>2021</v>
      </c>
    </row>
    <row r="1280" spans="1:9" x14ac:dyDescent="0.3">
      <c r="A1280" s="1">
        <v>44493</v>
      </c>
      <c r="B1280" t="s">
        <v>82</v>
      </c>
      <c r="G1280">
        <v>10440</v>
      </c>
      <c r="H1280">
        <f t="shared" si="44"/>
        <v>10</v>
      </c>
      <c r="I1280">
        <f t="shared" si="45"/>
        <v>2021</v>
      </c>
    </row>
    <row r="1281" spans="1:9" x14ac:dyDescent="0.3">
      <c r="A1281" s="1">
        <v>44493</v>
      </c>
      <c r="B1281" t="s">
        <v>82</v>
      </c>
      <c r="C1281" t="s">
        <v>359</v>
      </c>
      <c r="D1281" t="s">
        <v>16</v>
      </c>
      <c r="E1281" t="s">
        <v>172</v>
      </c>
      <c r="F1281">
        <v>7140</v>
      </c>
      <c r="H1281">
        <f t="shared" si="44"/>
        <v>10</v>
      </c>
      <c r="I1281">
        <f t="shared" si="45"/>
        <v>2021</v>
      </c>
    </row>
    <row r="1282" spans="1:9" x14ac:dyDescent="0.3">
      <c r="A1282" s="1">
        <v>44493</v>
      </c>
      <c r="B1282" t="s">
        <v>82</v>
      </c>
      <c r="C1282" t="s">
        <v>40</v>
      </c>
      <c r="D1282" t="s">
        <v>37</v>
      </c>
      <c r="E1282" t="s">
        <v>104</v>
      </c>
      <c r="F1282">
        <v>3300</v>
      </c>
      <c r="H1282">
        <f t="shared" si="44"/>
        <v>10</v>
      </c>
      <c r="I1282">
        <f t="shared" si="45"/>
        <v>2021</v>
      </c>
    </row>
    <row r="1283" spans="1:9" x14ac:dyDescent="0.3">
      <c r="A1283" s="1">
        <v>44493</v>
      </c>
      <c r="B1283" t="s">
        <v>3</v>
      </c>
      <c r="G1283">
        <v>26000</v>
      </c>
      <c r="H1283">
        <f t="shared" si="44"/>
        <v>10</v>
      </c>
      <c r="I1283">
        <f t="shared" si="45"/>
        <v>2021</v>
      </c>
    </row>
    <row r="1284" spans="1:9" x14ac:dyDescent="0.3">
      <c r="A1284" s="1">
        <v>44493</v>
      </c>
      <c r="B1284" t="s">
        <v>3</v>
      </c>
      <c r="C1284" t="s">
        <v>98</v>
      </c>
      <c r="D1284" t="s">
        <v>52</v>
      </c>
      <c r="E1284" t="s">
        <v>31</v>
      </c>
      <c r="F1284">
        <v>26000</v>
      </c>
      <c r="H1284">
        <f t="shared" si="44"/>
        <v>10</v>
      </c>
      <c r="I1284">
        <f t="shared" si="45"/>
        <v>2021</v>
      </c>
    </row>
    <row r="1285" spans="1:9" x14ac:dyDescent="0.3">
      <c r="A1285" s="1">
        <v>44494</v>
      </c>
      <c r="B1285" t="s">
        <v>234</v>
      </c>
      <c r="G1285">
        <v>22605</v>
      </c>
      <c r="H1285">
        <f t="shared" si="44"/>
        <v>10</v>
      </c>
      <c r="I1285">
        <f t="shared" si="45"/>
        <v>2021</v>
      </c>
    </row>
    <row r="1286" spans="1:9" x14ac:dyDescent="0.3">
      <c r="A1286" s="1">
        <v>44494</v>
      </c>
      <c r="B1286" t="s">
        <v>234</v>
      </c>
      <c r="C1286" t="s">
        <v>94</v>
      </c>
      <c r="D1286" t="s">
        <v>184</v>
      </c>
      <c r="E1286" t="s">
        <v>186</v>
      </c>
      <c r="F1286">
        <v>2850</v>
      </c>
      <c r="H1286">
        <f t="shared" si="44"/>
        <v>10</v>
      </c>
      <c r="I1286">
        <f t="shared" si="45"/>
        <v>2021</v>
      </c>
    </row>
    <row r="1287" spans="1:9" x14ac:dyDescent="0.3">
      <c r="A1287" s="1">
        <v>44494</v>
      </c>
      <c r="B1287" t="s">
        <v>234</v>
      </c>
      <c r="C1287" t="s">
        <v>40</v>
      </c>
      <c r="D1287" t="s">
        <v>18</v>
      </c>
      <c r="E1287" t="s">
        <v>104</v>
      </c>
      <c r="F1287">
        <v>1980</v>
      </c>
      <c r="H1287">
        <f t="shared" si="44"/>
        <v>10</v>
      </c>
      <c r="I1287">
        <f t="shared" si="45"/>
        <v>2021</v>
      </c>
    </row>
    <row r="1288" spans="1:9" x14ac:dyDescent="0.3">
      <c r="A1288" s="1">
        <v>44494</v>
      </c>
      <c r="B1288" t="s">
        <v>234</v>
      </c>
      <c r="C1288" t="s">
        <v>98</v>
      </c>
      <c r="D1288" t="s">
        <v>61</v>
      </c>
      <c r="E1288" t="s">
        <v>6</v>
      </c>
      <c r="F1288">
        <v>7875</v>
      </c>
      <c r="H1288">
        <f t="shared" si="44"/>
        <v>10</v>
      </c>
      <c r="I1288">
        <f t="shared" si="45"/>
        <v>2021</v>
      </c>
    </row>
    <row r="1289" spans="1:9" x14ac:dyDescent="0.3">
      <c r="A1289" s="1">
        <v>44494</v>
      </c>
      <c r="B1289" t="s">
        <v>234</v>
      </c>
      <c r="C1289" t="s">
        <v>324</v>
      </c>
      <c r="D1289" t="s">
        <v>93</v>
      </c>
      <c r="E1289" t="s">
        <v>13</v>
      </c>
      <c r="F1289">
        <v>1380</v>
      </c>
      <c r="H1289">
        <f t="shared" si="44"/>
        <v>10</v>
      </c>
      <c r="I1289">
        <f t="shared" si="45"/>
        <v>2021</v>
      </c>
    </row>
    <row r="1290" spans="1:9" x14ac:dyDescent="0.3">
      <c r="A1290" s="1">
        <v>44494</v>
      </c>
      <c r="B1290" t="s">
        <v>234</v>
      </c>
      <c r="C1290" t="s">
        <v>325</v>
      </c>
      <c r="D1290" t="s">
        <v>93</v>
      </c>
      <c r="E1290" t="s">
        <v>13</v>
      </c>
      <c r="F1290">
        <v>1380</v>
      </c>
      <c r="H1290">
        <f t="shared" si="44"/>
        <v>10</v>
      </c>
      <c r="I1290">
        <f t="shared" si="45"/>
        <v>2021</v>
      </c>
    </row>
    <row r="1291" spans="1:9" x14ac:dyDescent="0.3">
      <c r="A1291" s="1">
        <v>44494</v>
      </c>
      <c r="B1291" t="s">
        <v>234</v>
      </c>
      <c r="C1291" t="s">
        <v>108</v>
      </c>
      <c r="D1291" t="s">
        <v>18</v>
      </c>
      <c r="E1291" t="s">
        <v>99</v>
      </c>
      <c r="F1291">
        <v>3240</v>
      </c>
      <c r="H1291">
        <f t="shared" si="44"/>
        <v>10</v>
      </c>
      <c r="I1291">
        <f t="shared" si="45"/>
        <v>2021</v>
      </c>
    </row>
    <row r="1292" spans="1:9" x14ac:dyDescent="0.3">
      <c r="A1292" s="1">
        <v>44494</v>
      </c>
      <c r="B1292" t="s">
        <v>234</v>
      </c>
      <c r="C1292" t="s">
        <v>225</v>
      </c>
      <c r="D1292" t="s">
        <v>23</v>
      </c>
      <c r="E1292" t="s">
        <v>119</v>
      </c>
      <c r="F1292">
        <v>900</v>
      </c>
      <c r="H1292">
        <f t="shared" si="44"/>
        <v>10</v>
      </c>
      <c r="I1292">
        <f t="shared" si="45"/>
        <v>2021</v>
      </c>
    </row>
    <row r="1293" spans="1:9" x14ac:dyDescent="0.3">
      <c r="A1293" s="1">
        <v>44494</v>
      </c>
      <c r="B1293" t="s">
        <v>234</v>
      </c>
      <c r="C1293" t="s">
        <v>359</v>
      </c>
      <c r="D1293" t="s">
        <v>25</v>
      </c>
      <c r="E1293" t="s">
        <v>160</v>
      </c>
      <c r="F1293">
        <v>3000</v>
      </c>
      <c r="H1293">
        <f t="shared" si="44"/>
        <v>10</v>
      </c>
      <c r="I1293">
        <f t="shared" si="45"/>
        <v>2021</v>
      </c>
    </row>
    <row r="1294" spans="1:9" x14ac:dyDescent="0.3">
      <c r="A1294" s="1">
        <v>44494</v>
      </c>
      <c r="B1294" t="s">
        <v>96</v>
      </c>
      <c r="G1294">
        <v>600</v>
      </c>
      <c r="H1294">
        <f t="shared" si="44"/>
        <v>10</v>
      </c>
      <c r="I1294">
        <f t="shared" si="45"/>
        <v>2021</v>
      </c>
    </row>
    <row r="1295" spans="1:9" x14ac:dyDescent="0.3">
      <c r="A1295" s="1">
        <v>44494</v>
      </c>
      <c r="B1295" t="s">
        <v>96</v>
      </c>
      <c r="C1295" t="s">
        <v>359</v>
      </c>
      <c r="D1295" t="s">
        <v>5</v>
      </c>
      <c r="E1295" t="s">
        <v>160</v>
      </c>
      <c r="F1295">
        <v>600</v>
      </c>
      <c r="H1295">
        <f t="shared" si="44"/>
        <v>10</v>
      </c>
      <c r="I1295">
        <f t="shared" si="45"/>
        <v>2021</v>
      </c>
    </row>
    <row r="1296" spans="1:9" x14ac:dyDescent="0.3">
      <c r="A1296" s="1">
        <v>44494</v>
      </c>
      <c r="B1296" t="s">
        <v>3</v>
      </c>
      <c r="G1296">
        <v>2760</v>
      </c>
      <c r="H1296">
        <f t="shared" si="44"/>
        <v>10</v>
      </c>
      <c r="I1296">
        <f t="shared" si="45"/>
        <v>2021</v>
      </c>
    </row>
    <row r="1297" spans="1:9" x14ac:dyDescent="0.3">
      <c r="A1297" s="1">
        <v>44494</v>
      </c>
      <c r="B1297" t="s">
        <v>3</v>
      </c>
      <c r="C1297" t="s">
        <v>324</v>
      </c>
      <c r="D1297" t="s">
        <v>93</v>
      </c>
      <c r="E1297" t="s">
        <v>13</v>
      </c>
      <c r="F1297">
        <v>1380</v>
      </c>
      <c r="H1297">
        <f t="shared" si="44"/>
        <v>10</v>
      </c>
      <c r="I1297">
        <f t="shared" si="45"/>
        <v>2021</v>
      </c>
    </row>
    <row r="1298" spans="1:9" x14ac:dyDescent="0.3">
      <c r="A1298" s="1">
        <v>44494</v>
      </c>
      <c r="B1298" t="s">
        <v>3</v>
      </c>
      <c r="C1298" t="s">
        <v>325</v>
      </c>
      <c r="D1298" t="s">
        <v>93</v>
      </c>
      <c r="E1298" t="s">
        <v>13</v>
      </c>
      <c r="F1298">
        <v>1380</v>
      </c>
      <c r="H1298">
        <f t="shared" si="44"/>
        <v>10</v>
      </c>
      <c r="I1298">
        <f t="shared" si="45"/>
        <v>2021</v>
      </c>
    </row>
    <row r="1299" spans="1:9" x14ac:dyDescent="0.3">
      <c r="A1299" s="1">
        <v>44498</v>
      </c>
      <c r="B1299" t="s">
        <v>48</v>
      </c>
      <c r="G1299">
        <v>3300</v>
      </c>
      <c r="H1299">
        <f t="shared" si="44"/>
        <v>10</v>
      </c>
      <c r="I1299">
        <f t="shared" si="45"/>
        <v>2021</v>
      </c>
    </row>
    <row r="1300" spans="1:9" x14ac:dyDescent="0.3">
      <c r="A1300" s="1">
        <v>44498</v>
      </c>
      <c r="B1300" t="s">
        <v>48</v>
      </c>
      <c r="C1300" t="s">
        <v>40</v>
      </c>
      <c r="D1300" t="s">
        <v>37</v>
      </c>
      <c r="E1300" t="s">
        <v>104</v>
      </c>
      <c r="F1300">
        <v>3300</v>
      </c>
      <c r="H1300">
        <f t="shared" si="44"/>
        <v>10</v>
      </c>
      <c r="I1300">
        <f t="shared" si="45"/>
        <v>2021</v>
      </c>
    </row>
    <row r="1301" spans="1:9" x14ac:dyDescent="0.3">
      <c r="A1301" s="1">
        <v>44498</v>
      </c>
      <c r="B1301" t="s">
        <v>8</v>
      </c>
      <c r="G1301">
        <v>23400</v>
      </c>
      <c r="H1301">
        <f t="shared" si="44"/>
        <v>10</v>
      </c>
      <c r="I1301">
        <f t="shared" si="45"/>
        <v>2021</v>
      </c>
    </row>
    <row r="1302" spans="1:9" x14ac:dyDescent="0.3">
      <c r="A1302" s="1">
        <v>44498</v>
      </c>
      <c r="B1302" t="s">
        <v>8</v>
      </c>
      <c r="C1302" t="s">
        <v>40</v>
      </c>
      <c r="D1302" t="s">
        <v>52</v>
      </c>
      <c r="E1302" t="s">
        <v>104</v>
      </c>
      <c r="F1302">
        <v>16500</v>
      </c>
      <c r="H1302">
        <f t="shared" si="44"/>
        <v>10</v>
      </c>
      <c r="I1302">
        <f t="shared" si="45"/>
        <v>2021</v>
      </c>
    </row>
    <row r="1303" spans="1:9" x14ac:dyDescent="0.3">
      <c r="A1303" s="1">
        <v>44498</v>
      </c>
      <c r="B1303" t="s">
        <v>8</v>
      </c>
      <c r="C1303" t="s">
        <v>38</v>
      </c>
      <c r="D1303" t="s">
        <v>9</v>
      </c>
      <c r="E1303" t="s">
        <v>13</v>
      </c>
      <c r="F1303">
        <v>6900</v>
      </c>
      <c r="H1303">
        <f t="shared" ref="H1303:H1359" si="46">MONTH(A1303)</f>
        <v>10</v>
      </c>
      <c r="I1303">
        <f t="shared" ref="I1303:I1359" si="47">YEAR(A1303)</f>
        <v>2021</v>
      </c>
    </row>
    <row r="1304" spans="1:9" x14ac:dyDescent="0.3">
      <c r="A1304" s="1">
        <v>44498</v>
      </c>
      <c r="B1304" t="s">
        <v>3</v>
      </c>
      <c r="G1304">
        <v>1800</v>
      </c>
      <c r="H1304">
        <f t="shared" si="46"/>
        <v>10</v>
      </c>
      <c r="I1304">
        <f t="shared" si="47"/>
        <v>2021</v>
      </c>
    </row>
    <row r="1305" spans="1:9" x14ac:dyDescent="0.3">
      <c r="A1305" s="1">
        <v>44498</v>
      </c>
      <c r="B1305" t="s">
        <v>3</v>
      </c>
      <c r="C1305" t="s">
        <v>198</v>
      </c>
      <c r="D1305" t="s">
        <v>37</v>
      </c>
      <c r="E1305" t="s">
        <v>177</v>
      </c>
      <c r="F1305">
        <v>1800</v>
      </c>
      <c r="H1305">
        <f t="shared" si="46"/>
        <v>10</v>
      </c>
      <c r="I1305">
        <f t="shared" si="47"/>
        <v>2021</v>
      </c>
    </row>
    <row r="1306" spans="1:9" x14ac:dyDescent="0.3">
      <c r="A1306" s="1">
        <v>44498</v>
      </c>
      <c r="B1306" t="s">
        <v>3</v>
      </c>
      <c r="G1306">
        <v>4620</v>
      </c>
      <c r="H1306">
        <f t="shared" si="46"/>
        <v>10</v>
      </c>
      <c r="I1306">
        <f t="shared" si="47"/>
        <v>2021</v>
      </c>
    </row>
    <row r="1307" spans="1:9" x14ac:dyDescent="0.3">
      <c r="A1307" s="1">
        <v>44498</v>
      </c>
      <c r="B1307" t="s">
        <v>3</v>
      </c>
      <c r="C1307" t="s">
        <v>266</v>
      </c>
      <c r="D1307" t="s">
        <v>18</v>
      </c>
      <c r="E1307" t="s">
        <v>92</v>
      </c>
      <c r="F1307">
        <v>960</v>
      </c>
      <c r="H1307">
        <f t="shared" si="46"/>
        <v>10</v>
      </c>
      <c r="I1307">
        <f t="shared" si="47"/>
        <v>2021</v>
      </c>
    </row>
    <row r="1308" spans="1:9" x14ac:dyDescent="0.3">
      <c r="A1308" s="1">
        <v>44498</v>
      </c>
      <c r="B1308" t="s">
        <v>3</v>
      </c>
      <c r="C1308" t="s">
        <v>338</v>
      </c>
      <c r="D1308" t="s">
        <v>12</v>
      </c>
      <c r="E1308" t="s">
        <v>26</v>
      </c>
      <c r="F1308">
        <v>1060</v>
      </c>
      <c r="H1308">
        <f t="shared" si="46"/>
        <v>10</v>
      </c>
      <c r="I1308">
        <f t="shared" si="47"/>
        <v>2021</v>
      </c>
    </row>
    <row r="1309" spans="1:9" x14ac:dyDescent="0.3">
      <c r="A1309" s="1">
        <v>44498</v>
      </c>
      <c r="B1309" t="s">
        <v>3</v>
      </c>
      <c r="C1309" t="s">
        <v>98</v>
      </c>
      <c r="D1309" t="s">
        <v>25</v>
      </c>
      <c r="E1309" t="s">
        <v>31</v>
      </c>
      <c r="F1309">
        <v>2600</v>
      </c>
      <c r="H1309">
        <f t="shared" si="46"/>
        <v>10</v>
      </c>
      <c r="I1309">
        <f t="shared" si="47"/>
        <v>2021</v>
      </c>
    </row>
    <row r="1310" spans="1:9" x14ac:dyDescent="0.3">
      <c r="A1310" s="1">
        <v>44501</v>
      </c>
      <c r="B1310" t="s">
        <v>75</v>
      </c>
      <c r="G1310">
        <v>10800</v>
      </c>
      <c r="H1310">
        <f t="shared" si="46"/>
        <v>11</v>
      </c>
      <c r="I1310">
        <f t="shared" si="47"/>
        <v>2021</v>
      </c>
    </row>
    <row r="1311" spans="1:9" x14ac:dyDescent="0.3">
      <c r="A1311" s="1">
        <v>44501</v>
      </c>
      <c r="B1311" t="s">
        <v>75</v>
      </c>
      <c r="C1311" t="s">
        <v>194</v>
      </c>
      <c r="D1311">
        <v>388</v>
      </c>
      <c r="F1311">
        <v>10800</v>
      </c>
      <c r="H1311">
        <f t="shared" si="46"/>
        <v>11</v>
      </c>
      <c r="I1311">
        <f t="shared" si="47"/>
        <v>2021</v>
      </c>
    </row>
    <row r="1312" spans="1:9" x14ac:dyDescent="0.3">
      <c r="A1312" s="1">
        <v>44501</v>
      </c>
      <c r="B1312" t="s">
        <v>75</v>
      </c>
      <c r="C1312" t="s">
        <v>40</v>
      </c>
      <c r="D1312" t="s">
        <v>37</v>
      </c>
      <c r="E1312" t="s">
        <v>104</v>
      </c>
      <c r="F1312">
        <v>3300</v>
      </c>
      <c r="H1312">
        <f t="shared" si="46"/>
        <v>11</v>
      </c>
      <c r="I1312">
        <f t="shared" si="47"/>
        <v>2021</v>
      </c>
    </row>
    <row r="1313" spans="1:9" x14ac:dyDescent="0.3">
      <c r="A1313" s="1">
        <v>44501</v>
      </c>
      <c r="B1313" t="s">
        <v>75</v>
      </c>
      <c r="C1313" t="s">
        <v>94</v>
      </c>
      <c r="D1313" t="s">
        <v>244</v>
      </c>
      <c r="E1313" t="s">
        <v>186</v>
      </c>
      <c r="F1313">
        <v>5700</v>
      </c>
      <c r="H1313">
        <f t="shared" si="46"/>
        <v>11</v>
      </c>
      <c r="I1313">
        <f t="shared" si="47"/>
        <v>2021</v>
      </c>
    </row>
    <row r="1314" spans="1:9" x14ac:dyDescent="0.3">
      <c r="A1314" s="1">
        <v>44501</v>
      </c>
      <c r="B1314" t="s">
        <v>75</v>
      </c>
      <c r="C1314" t="s">
        <v>359</v>
      </c>
      <c r="D1314" t="s">
        <v>23</v>
      </c>
      <c r="E1314" t="s">
        <v>160</v>
      </c>
      <c r="F1314">
        <v>1800</v>
      </c>
      <c r="H1314">
        <f t="shared" si="46"/>
        <v>11</v>
      </c>
      <c r="I1314">
        <f t="shared" si="47"/>
        <v>2021</v>
      </c>
    </row>
    <row r="1315" spans="1:9" x14ac:dyDescent="0.3">
      <c r="A1315" s="1">
        <v>44501</v>
      </c>
      <c r="B1315" t="s">
        <v>110</v>
      </c>
      <c r="G1315">
        <v>2700</v>
      </c>
      <c r="H1315">
        <f t="shared" si="46"/>
        <v>11</v>
      </c>
      <c r="I1315">
        <f t="shared" si="47"/>
        <v>2021</v>
      </c>
    </row>
    <row r="1316" spans="1:9" x14ac:dyDescent="0.3">
      <c r="A1316" s="1">
        <v>44501</v>
      </c>
      <c r="B1316" t="s">
        <v>110</v>
      </c>
      <c r="C1316" t="s">
        <v>98</v>
      </c>
      <c r="D1316" t="s">
        <v>25</v>
      </c>
      <c r="E1316" t="s">
        <v>99</v>
      </c>
      <c r="F1316">
        <v>2700</v>
      </c>
      <c r="H1316">
        <f t="shared" si="46"/>
        <v>11</v>
      </c>
      <c r="I1316">
        <f t="shared" si="47"/>
        <v>2021</v>
      </c>
    </row>
    <row r="1317" spans="1:9" x14ac:dyDescent="0.3">
      <c r="A1317" s="1">
        <v>44501</v>
      </c>
      <c r="B1317" t="s">
        <v>234</v>
      </c>
      <c r="G1317">
        <v>10050</v>
      </c>
      <c r="H1317">
        <f t="shared" si="46"/>
        <v>11</v>
      </c>
      <c r="I1317">
        <f t="shared" si="47"/>
        <v>2021</v>
      </c>
    </row>
    <row r="1318" spans="1:9" x14ac:dyDescent="0.3">
      <c r="A1318" s="1">
        <v>44501</v>
      </c>
      <c r="B1318" t="s">
        <v>234</v>
      </c>
      <c r="C1318" t="s">
        <v>40</v>
      </c>
      <c r="D1318" t="s">
        <v>9</v>
      </c>
      <c r="E1318" t="s">
        <v>104</v>
      </c>
      <c r="F1318">
        <v>6600</v>
      </c>
      <c r="H1318">
        <f t="shared" si="46"/>
        <v>11</v>
      </c>
      <c r="I1318">
        <f t="shared" si="47"/>
        <v>2021</v>
      </c>
    </row>
    <row r="1319" spans="1:9" x14ac:dyDescent="0.3">
      <c r="A1319" s="1">
        <v>44501</v>
      </c>
      <c r="B1319" t="s">
        <v>234</v>
      </c>
      <c r="C1319" t="s">
        <v>38</v>
      </c>
      <c r="D1319" t="s">
        <v>37</v>
      </c>
      <c r="E1319" t="s">
        <v>13</v>
      </c>
      <c r="F1319">
        <v>3450</v>
      </c>
      <c r="H1319">
        <f t="shared" si="46"/>
        <v>11</v>
      </c>
      <c r="I1319">
        <f t="shared" si="47"/>
        <v>2021</v>
      </c>
    </row>
    <row r="1320" spans="1:9" x14ac:dyDescent="0.3">
      <c r="A1320" s="1">
        <v>44501</v>
      </c>
      <c r="B1320" t="s">
        <v>352</v>
      </c>
      <c r="G1320">
        <v>840</v>
      </c>
      <c r="H1320">
        <f t="shared" si="46"/>
        <v>11</v>
      </c>
      <c r="I1320">
        <f t="shared" si="47"/>
        <v>2021</v>
      </c>
    </row>
    <row r="1321" spans="1:9" x14ac:dyDescent="0.3">
      <c r="A1321" s="1">
        <v>44501</v>
      </c>
      <c r="B1321" t="s">
        <v>352</v>
      </c>
      <c r="C1321" t="s">
        <v>211</v>
      </c>
      <c r="D1321" t="s">
        <v>12</v>
      </c>
      <c r="E1321" t="s">
        <v>79</v>
      </c>
      <c r="F1321">
        <v>840</v>
      </c>
      <c r="H1321">
        <f t="shared" si="46"/>
        <v>11</v>
      </c>
      <c r="I1321">
        <f t="shared" si="47"/>
        <v>2021</v>
      </c>
    </row>
    <row r="1322" spans="1:9" x14ac:dyDescent="0.3">
      <c r="A1322" s="1">
        <v>44502</v>
      </c>
      <c r="B1322" t="s">
        <v>3</v>
      </c>
      <c r="G1322">
        <v>3860</v>
      </c>
      <c r="H1322">
        <f t="shared" si="46"/>
        <v>11</v>
      </c>
      <c r="I1322">
        <f t="shared" si="47"/>
        <v>2021</v>
      </c>
    </row>
    <row r="1323" spans="1:9" x14ac:dyDescent="0.3">
      <c r="A1323" s="1">
        <v>44502</v>
      </c>
      <c r="B1323" t="s">
        <v>3</v>
      </c>
      <c r="C1323" t="s">
        <v>211</v>
      </c>
      <c r="D1323" t="s">
        <v>23</v>
      </c>
      <c r="E1323" t="s">
        <v>79</v>
      </c>
      <c r="F1323">
        <v>1260</v>
      </c>
      <c r="H1323">
        <f t="shared" si="46"/>
        <v>11</v>
      </c>
      <c r="I1323">
        <f t="shared" si="47"/>
        <v>2021</v>
      </c>
    </row>
    <row r="1324" spans="1:9" x14ac:dyDescent="0.3">
      <c r="A1324" s="1">
        <v>44502</v>
      </c>
      <c r="B1324" t="s">
        <v>3</v>
      </c>
      <c r="C1324" t="s">
        <v>98</v>
      </c>
      <c r="D1324" t="s">
        <v>25</v>
      </c>
      <c r="E1324" t="s">
        <v>31</v>
      </c>
      <c r="F1324">
        <v>2600</v>
      </c>
      <c r="H1324">
        <f t="shared" si="46"/>
        <v>11</v>
      </c>
      <c r="I1324">
        <f t="shared" si="47"/>
        <v>2021</v>
      </c>
    </row>
    <row r="1325" spans="1:9" x14ac:dyDescent="0.3">
      <c r="A1325" s="1">
        <v>44502</v>
      </c>
      <c r="B1325" t="s">
        <v>75</v>
      </c>
      <c r="G1325">
        <v>10920</v>
      </c>
      <c r="H1325">
        <f t="shared" si="46"/>
        <v>11</v>
      </c>
      <c r="I1325">
        <f t="shared" si="47"/>
        <v>2021</v>
      </c>
    </row>
    <row r="1326" spans="1:9" x14ac:dyDescent="0.3">
      <c r="A1326" s="1">
        <v>44502</v>
      </c>
      <c r="B1326" t="s">
        <v>75</v>
      </c>
      <c r="C1326" t="s">
        <v>211</v>
      </c>
      <c r="D1326" t="s">
        <v>16</v>
      </c>
      <c r="E1326" t="s">
        <v>79</v>
      </c>
      <c r="F1326">
        <v>5040</v>
      </c>
      <c r="H1326">
        <f t="shared" si="46"/>
        <v>11</v>
      </c>
      <c r="I1326">
        <f t="shared" si="47"/>
        <v>2021</v>
      </c>
    </row>
    <row r="1327" spans="1:9" x14ac:dyDescent="0.3">
      <c r="A1327" s="1">
        <v>44502</v>
      </c>
      <c r="B1327" t="s">
        <v>75</v>
      </c>
      <c r="C1327" t="s">
        <v>338</v>
      </c>
      <c r="D1327" t="s">
        <v>16</v>
      </c>
      <c r="E1327" t="s">
        <v>202</v>
      </c>
      <c r="F1327">
        <v>5880</v>
      </c>
      <c r="H1327">
        <f t="shared" si="46"/>
        <v>11</v>
      </c>
      <c r="I1327">
        <f t="shared" si="47"/>
        <v>2021</v>
      </c>
    </row>
    <row r="1328" spans="1:9" x14ac:dyDescent="0.3">
      <c r="A1328" s="1">
        <v>44503</v>
      </c>
      <c r="B1328" t="s">
        <v>8</v>
      </c>
      <c r="G1328">
        <v>2360</v>
      </c>
      <c r="H1328">
        <f t="shared" si="46"/>
        <v>11</v>
      </c>
      <c r="I1328">
        <f t="shared" si="47"/>
        <v>2021</v>
      </c>
    </row>
    <row r="1329" spans="1:9" x14ac:dyDescent="0.3">
      <c r="A1329" s="1">
        <v>44503</v>
      </c>
      <c r="B1329" t="s">
        <v>8</v>
      </c>
      <c r="C1329" t="s">
        <v>359</v>
      </c>
      <c r="D1329" t="s">
        <v>93</v>
      </c>
      <c r="E1329" t="s">
        <v>77</v>
      </c>
      <c r="F1329">
        <v>2360</v>
      </c>
      <c r="H1329">
        <f t="shared" si="46"/>
        <v>11</v>
      </c>
      <c r="I1329">
        <f t="shared" si="47"/>
        <v>2021</v>
      </c>
    </row>
    <row r="1330" spans="1:9" x14ac:dyDescent="0.3">
      <c r="A1330" s="1">
        <v>44503</v>
      </c>
      <c r="B1330" t="s">
        <v>45</v>
      </c>
      <c r="G1330">
        <v>970</v>
      </c>
      <c r="H1330">
        <f t="shared" si="46"/>
        <v>11</v>
      </c>
      <c r="I1330">
        <f t="shared" si="47"/>
        <v>2021</v>
      </c>
    </row>
    <row r="1331" spans="1:9" x14ac:dyDescent="0.3">
      <c r="A1331" s="1">
        <v>44503</v>
      </c>
      <c r="B1331" t="s">
        <v>45</v>
      </c>
      <c r="C1331" t="s">
        <v>338</v>
      </c>
      <c r="D1331" t="s">
        <v>12</v>
      </c>
      <c r="E1331" t="s">
        <v>265</v>
      </c>
      <c r="F1331">
        <v>970</v>
      </c>
      <c r="H1331">
        <f t="shared" si="46"/>
        <v>11</v>
      </c>
      <c r="I1331">
        <f t="shared" si="47"/>
        <v>2021</v>
      </c>
    </row>
    <row r="1332" spans="1:9" x14ac:dyDescent="0.3">
      <c r="A1332" s="1">
        <v>44504</v>
      </c>
      <c r="B1332" t="s">
        <v>3</v>
      </c>
      <c r="G1332">
        <v>3980</v>
      </c>
      <c r="H1332">
        <f t="shared" si="46"/>
        <v>11</v>
      </c>
      <c r="I1332">
        <f t="shared" si="47"/>
        <v>2021</v>
      </c>
    </row>
    <row r="1333" spans="1:9" x14ac:dyDescent="0.3">
      <c r="A1333" s="1">
        <v>44504</v>
      </c>
      <c r="B1333" t="s">
        <v>3</v>
      </c>
      <c r="C1333" t="s">
        <v>98</v>
      </c>
      <c r="D1333" t="s">
        <v>25</v>
      </c>
      <c r="E1333" t="s">
        <v>31</v>
      </c>
      <c r="F1333">
        <v>2600</v>
      </c>
      <c r="H1333">
        <f t="shared" si="46"/>
        <v>11</v>
      </c>
      <c r="I1333">
        <f t="shared" si="47"/>
        <v>2021</v>
      </c>
    </row>
    <row r="1334" spans="1:9" x14ac:dyDescent="0.3">
      <c r="A1334" s="1">
        <v>44504</v>
      </c>
      <c r="B1334" t="s">
        <v>3</v>
      </c>
      <c r="C1334" t="s">
        <v>325</v>
      </c>
      <c r="D1334" t="s">
        <v>93</v>
      </c>
      <c r="E1334" t="s">
        <v>13</v>
      </c>
      <c r="F1334">
        <v>1380</v>
      </c>
      <c r="H1334">
        <f t="shared" si="46"/>
        <v>11</v>
      </c>
      <c r="I1334">
        <f t="shared" si="47"/>
        <v>2021</v>
      </c>
    </row>
    <row r="1335" spans="1:9" x14ac:dyDescent="0.3">
      <c r="A1335" s="1">
        <v>44506</v>
      </c>
      <c r="B1335" t="s">
        <v>3</v>
      </c>
      <c r="G1335">
        <v>1000</v>
      </c>
      <c r="H1335">
        <f t="shared" si="46"/>
        <v>11</v>
      </c>
      <c r="I1335">
        <f t="shared" si="47"/>
        <v>2021</v>
      </c>
    </row>
    <row r="1336" spans="1:9" x14ac:dyDescent="0.3">
      <c r="A1336" s="1">
        <v>44506</v>
      </c>
      <c r="B1336" t="s">
        <v>3</v>
      </c>
      <c r="C1336" t="s">
        <v>266</v>
      </c>
      <c r="D1336" t="s">
        <v>18</v>
      </c>
      <c r="E1336" t="s">
        <v>296</v>
      </c>
      <c r="F1336">
        <v>1000</v>
      </c>
      <c r="H1336">
        <f t="shared" si="46"/>
        <v>11</v>
      </c>
      <c r="I1336">
        <f t="shared" si="47"/>
        <v>2021</v>
      </c>
    </row>
    <row r="1337" spans="1:9" x14ac:dyDescent="0.3">
      <c r="A1337" s="1">
        <v>44507</v>
      </c>
      <c r="B1337" t="s">
        <v>8</v>
      </c>
      <c r="G1337">
        <v>1180</v>
      </c>
      <c r="H1337">
        <f t="shared" si="46"/>
        <v>11</v>
      </c>
      <c r="I1337">
        <f t="shared" si="47"/>
        <v>2021</v>
      </c>
    </row>
    <row r="1338" spans="1:9" x14ac:dyDescent="0.3">
      <c r="A1338" s="1">
        <v>44507</v>
      </c>
      <c r="B1338" t="s">
        <v>8</v>
      </c>
      <c r="C1338" t="s">
        <v>359</v>
      </c>
      <c r="D1338" t="s">
        <v>12</v>
      </c>
      <c r="E1338" t="s">
        <v>77</v>
      </c>
      <c r="F1338">
        <v>1180</v>
      </c>
      <c r="H1338">
        <f t="shared" si="46"/>
        <v>11</v>
      </c>
      <c r="I1338">
        <f t="shared" si="47"/>
        <v>2021</v>
      </c>
    </row>
    <row r="1339" spans="1:9" x14ac:dyDescent="0.3">
      <c r="A1339" s="1">
        <v>44507</v>
      </c>
      <c r="B1339" t="s">
        <v>3</v>
      </c>
      <c r="G1339">
        <v>1530</v>
      </c>
      <c r="H1339">
        <f t="shared" si="46"/>
        <v>11</v>
      </c>
      <c r="I1339">
        <f t="shared" si="47"/>
        <v>2021</v>
      </c>
    </row>
    <row r="1340" spans="1:9" x14ac:dyDescent="0.3">
      <c r="A1340" s="1">
        <v>44507</v>
      </c>
      <c r="B1340" t="s">
        <v>3</v>
      </c>
      <c r="C1340" t="s">
        <v>40</v>
      </c>
      <c r="D1340" t="s">
        <v>12</v>
      </c>
      <c r="E1340" t="s">
        <v>104</v>
      </c>
      <c r="F1340">
        <v>660</v>
      </c>
      <c r="H1340">
        <f t="shared" si="46"/>
        <v>11</v>
      </c>
      <c r="I1340">
        <f t="shared" si="47"/>
        <v>2021</v>
      </c>
    </row>
    <row r="1341" spans="1:9" x14ac:dyDescent="0.3">
      <c r="A1341" s="1">
        <v>44507</v>
      </c>
      <c r="B1341" t="s">
        <v>3</v>
      </c>
      <c r="C1341" t="s">
        <v>98</v>
      </c>
      <c r="D1341" t="s">
        <v>5</v>
      </c>
      <c r="E1341" t="s">
        <v>26</v>
      </c>
      <c r="F1341">
        <v>530</v>
      </c>
      <c r="H1341">
        <f t="shared" si="46"/>
        <v>11</v>
      </c>
      <c r="I1341">
        <f t="shared" si="47"/>
        <v>2021</v>
      </c>
    </row>
    <row r="1342" spans="1:9" x14ac:dyDescent="0.3">
      <c r="A1342" s="1">
        <v>44507</v>
      </c>
      <c r="B1342" t="s">
        <v>3</v>
      </c>
      <c r="C1342" t="s">
        <v>38</v>
      </c>
      <c r="D1342" t="s">
        <v>5</v>
      </c>
      <c r="E1342" t="s">
        <v>13</v>
      </c>
      <c r="F1342">
        <v>345</v>
      </c>
      <c r="H1342">
        <f t="shared" si="46"/>
        <v>11</v>
      </c>
      <c r="I1342">
        <f t="shared" si="47"/>
        <v>2021</v>
      </c>
    </row>
    <row r="1343" spans="1:9" x14ac:dyDescent="0.3">
      <c r="A1343" s="1">
        <v>44507</v>
      </c>
      <c r="B1343" t="s">
        <v>24</v>
      </c>
      <c r="G1343">
        <v>-5</v>
      </c>
      <c r="H1343">
        <f t="shared" si="46"/>
        <v>11</v>
      </c>
      <c r="I1343">
        <f t="shared" si="47"/>
        <v>2021</v>
      </c>
    </row>
    <row r="1344" spans="1:9" x14ac:dyDescent="0.3">
      <c r="A1344" s="1">
        <v>44507</v>
      </c>
      <c r="B1344" t="s">
        <v>96</v>
      </c>
      <c r="G1344">
        <v>600</v>
      </c>
      <c r="H1344">
        <f t="shared" si="46"/>
        <v>11</v>
      </c>
      <c r="I1344">
        <f t="shared" si="47"/>
        <v>2021</v>
      </c>
    </row>
    <row r="1345" spans="1:9" x14ac:dyDescent="0.3">
      <c r="A1345" s="1">
        <v>44507</v>
      </c>
      <c r="B1345" t="s">
        <v>96</v>
      </c>
      <c r="C1345" t="s">
        <v>359</v>
      </c>
      <c r="D1345" t="s">
        <v>5</v>
      </c>
      <c r="E1345" t="s">
        <v>160</v>
      </c>
      <c r="F1345">
        <v>600</v>
      </c>
      <c r="H1345">
        <f t="shared" si="46"/>
        <v>11</v>
      </c>
      <c r="I1345">
        <f t="shared" si="47"/>
        <v>2021</v>
      </c>
    </row>
    <row r="1346" spans="1:9" x14ac:dyDescent="0.3">
      <c r="A1346" s="1">
        <v>44509</v>
      </c>
      <c r="B1346" t="s">
        <v>360</v>
      </c>
      <c r="G1346">
        <v>3090</v>
      </c>
      <c r="H1346">
        <f t="shared" si="46"/>
        <v>11</v>
      </c>
      <c r="I1346">
        <f t="shared" si="47"/>
        <v>2021</v>
      </c>
    </row>
    <row r="1347" spans="1:9" x14ac:dyDescent="0.3">
      <c r="A1347" s="1">
        <v>44509</v>
      </c>
      <c r="B1347" t="s">
        <v>360</v>
      </c>
      <c r="C1347" t="s">
        <v>338</v>
      </c>
      <c r="D1347" t="s">
        <v>18</v>
      </c>
      <c r="E1347" t="s">
        <v>81</v>
      </c>
      <c r="F1347">
        <v>3090</v>
      </c>
      <c r="H1347">
        <f t="shared" si="46"/>
        <v>11</v>
      </c>
      <c r="I1347">
        <f t="shared" si="47"/>
        <v>2021</v>
      </c>
    </row>
    <row r="1348" spans="1:9" x14ac:dyDescent="0.3">
      <c r="A1348" s="1">
        <v>44509</v>
      </c>
      <c r="B1348" t="s">
        <v>47</v>
      </c>
      <c r="G1348">
        <v>6180</v>
      </c>
      <c r="H1348">
        <f t="shared" si="46"/>
        <v>11</v>
      </c>
      <c r="I1348">
        <f t="shared" si="47"/>
        <v>2021</v>
      </c>
    </row>
    <row r="1349" spans="1:9" x14ac:dyDescent="0.3">
      <c r="A1349" s="1">
        <v>44509</v>
      </c>
      <c r="B1349" t="s">
        <v>47</v>
      </c>
      <c r="C1349" t="s">
        <v>338</v>
      </c>
      <c r="D1349" t="s">
        <v>16</v>
      </c>
      <c r="E1349" t="s">
        <v>81</v>
      </c>
      <c r="F1349">
        <v>6180</v>
      </c>
      <c r="H1349">
        <f t="shared" si="46"/>
        <v>11</v>
      </c>
      <c r="I1349">
        <f t="shared" si="47"/>
        <v>2021</v>
      </c>
    </row>
    <row r="1350" spans="1:9" x14ac:dyDescent="0.3">
      <c r="A1350" s="1">
        <v>44510</v>
      </c>
      <c r="B1350" t="s">
        <v>8</v>
      </c>
      <c r="G1350">
        <v>8260</v>
      </c>
      <c r="H1350">
        <f t="shared" si="46"/>
        <v>11</v>
      </c>
      <c r="I1350">
        <f t="shared" si="47"/>
        <v>2021</v>
      </c>
    </row>
    <row r="1351" spans="1:9" x14ac:dyDescent="0.3">
      <c r="A1351" s="1">
        <v>44510</v>
      </c>
      <c r="B1351" t="s">
        <v>8</v>
      </c>
      <c r="C1351" t="s">
        <v>359</v>
      </c>
      <c r="D1351" t="s">
        <v>139</v>
      </c>
      <c r="E1351" t="s">
        <v>77</v>
      </c>
      <c r="F1351">
        <v>8260</v>
      </c>
      <c r="H1351">
        <f t="shared" si="46"/>
        <v>11</v>
      </c>
      <c r="I1351">
        <f t="shared" si="47"/>
        <v>2021</v>
      </c>
    </row>
    <row r="1352" spans="1:9" x14ac:dyDescent="0.3">
      <c r="A1352" s="1">
        <v>44510</v>
      </c>
      <c r="B1352" t="s">
        <v>96</v>
      </c>
      <c r="G1352">
        <v>2400</v>
      </c>
      <c r="H1352">
        <f t="shared" si="46"/>
        <v>11</v>
      </c>
      <c r="I1352">
        <f t="shared" si="47"/>
        <v>2021</v>
      </c>
    </row>
    <row r="1353" spans="1:9" x14ac:dyDescent="0.3">
      <c r="A1353" s="1">
        <v>44510</v>
      </c>
      <c r="B1353" t="s">
        <v>96</v>
      </c>
      <c r="C1353" t="s">
        <v>359</v>
      </c>
      <c r="D1353" t="s">
        <v>93</v>
      </c>
      <c r="E1353" t="s">
        <v>160</v>
      </c>
      <c r="F1353">
        <v>2400</v>
      </c>
      <c r="H1353">
        <f t="shared" si="46"/>
        <v>11</v>
      </c>
      <c r="I1353">
        <f t="shared" si="47"/>
        <v>2021</v>
      </c>
    </row>
    <row r="1354" spans="1:9" x14ac:dyDescent="0.3">
      <c r="A1354" s="1">
        <v>44510</v>
      </c>
      <c r="B1354" t="s">
        <v>3</v>
      </c>
      <c r="G1354">
        <v>13000</v>
      </c>
      <c r="H1354">
        <f t="shared" si="46"/>
        <v>11</v>
      </c>
      <c r="I1354">
        <f t="shared" si="47"/>
        <v>2021</v>
      </c>
    </row>
    <row r="1355" spans="1:9" x14ac:dyDescent="0.3">
      <c r="A1355" s="1">
        <v>44510</v>
      </c>
      <c r="B1355" t="s">
        <v>3</v>
      </c>
      <c r="C1355" t="s">
        <v>98</v>
      </c>
      <c r="D1355" t="s">
        <v>25</v>
      </c>
      <c r="E1355" t="s">
        <v>31</v>
      </c>
      <c r="F1355">
        <v>2600</v>
      </c>
      <c r="H1355">
        <f t="shared" si="46"/>
        <v>11</v>
      </c>
      <c r="I1355">
        <f t="shared" si="47"/>
        <v>2021</v>
      </c>
    </row>
    <row r="1356" spans="1:9" x14ac:dyDescent="0.3">
      <c r="A1356" s="1">
        <v>44510</v>
      </c>
      <c r="B1356" t="s">
        <v>3</v>
      </c>
      <c r="C1356" t="s">
        <v>98</v>
      </c>
      <c r="D1356" t="s">
        <v>9</v>
      </c>
      <c r="E1356" t="s">
        <v>31</v>
      </c>
      <c r="F1356">
        <v>10400</v>
      </c>
      <c r="H1356">
        <f t="shared" si="46"/>
        <v>11</v>
      </c>
      <c r="I1356">
        <f t="shared" si="47"/>
        <v>2021</v>
      </c>
    </row>
    <row r="1357" spans="1:9" x14ac:dyDescent="0.3">
      <c r="A1357" s="1">
        <v>44511</v>
      </c>
      <c r="B1357" t="s">
        <v>201</v>
      </c>
      <c r="G1357">
        <v>4140</v>
      </c>
      <c r="H1357">
        <f t="shared" si="46"/>
        <v>11</v>
      </c>
      <c r="I1357">
        <f t="shared" si="47"/>
        <v>2021</v>
      </c>
    </row>
    <row r="1358" spans="1:9" x14ac:dyDescent="0.3">
      <c r="A1358" s="1">
        <v>44511</v>
      </c>
      <c r="B1358" t="s">
        <v>201</v>
      </c>
      <c r="C1358" t="s">
        <v>98</v>
      </c>
      <c r="D1358" t="s">
        <v>25</v>
      </c>
      <c r="E1358" t="s">
        <v>99</v>
      </c>
      <c r="F1358">
        <v>2700</v>
      </c>
      <c r="H1358">
        <f t="shared" si="46"/>
        <v>11</v>
      </c>
      <c r="I1358">
        <f t="shared" si="47"/>
        <v>2021</v>
      </c>
    </row>
    <row r="1359" spans="1:9" x14ac:dyDescent="0.3">
      <c r="A1359" s="1">
        <v>44511</v>
      </c>
      <c r="B1359" t="s">
        <v>201</v>
      </c>
      <c r="C1359" t="s">
        <v>217</v>
      </c>
      <c r="D1359" t="s">
        <v>5</v>
      </c>
      <c r="E1359" t="s">
        <v>361</v>
      </c>
      <c r="F1359">
        <v>480</v>
      </c>
      <c r="H1359">
        <f t="shared" si="46"/>
        <v>11</v>
      </c>
      <c r="I1359">
        <f t="shared" si="47"/>
        <v>2021</v>
      </c>
    </row>
    <row r="1360" spans="1:9" x14ac:dyDescent="0.3">
      <c r="A1360" s="1">
        <v>44511</v>
      </c>
      <c r="B1360" t="s">
        <v>201</v>
      </c>
      <c r="C1360" t="s">
        <v>221</v>
      </c>
      <c r="D1360" t="s">
        <v>5</v>
      </c>
      <c r="E1360" t="s">
        <v>361</v>
      </c>
      <c r="F1360">
        <v>480</v>
      </c>
      <c r="H1360">
        <f t="shared" ref="H1360:H1411" si="48">MONTH(A1360)</f>
        <v>11</v>
      </c>
      <c r="I1360">
        <f t="shared" ref="I1360:I1411" si="49">YEAR(A1360)</f>
        <v>2021</v>
      </c>
    </row>
    <row r="1361" spans="1:9" x14ac:dyDescent="0.3">
      <c r="A1361" s="1">
        <v>44511</v>
      </c>
      <c r="B1361" t="s">
        <v>201</v>
      </c>
      <c r="C1361" t="s">
        <v>171</v>
      </c>
      <c r="D1361" t="s">
        <v>5</v>
      </c>
      <c r="E1361" t="s">
        <v>361</v>
      </c>
      <c r="F1361">
        <v>480</v>
      </c>
      <c r="H1361">
        <f t="shared" si="48"/>
        <v>11</v>
      </c>
      <c r="I1361">
        <f t="shared" si="49"/>
        <v>2021</v>
      </c>
    </row>
    <row r="1362" spans="1:9" x14ac:dyDescent="0.3">
      <c r="A1362" s="1">
        <v>44512</v>
      </c>
      <c r="B1362" t="s">
        <v>8</v>
      </c>
      <c r="G1362">
        <v>4130</v>
      </c>
      <c r="H1362">
        <f t="shared" si="48"/>
        <v>11</v>
      </c>
      <c r="I1362">
        <f t="shared" si="49"/>
        <v>2021</v>
      </c>
    </row>
    <row r="1363" spans="1:9" x14ac:dyDescent="0.3">
      <c r="A1363" s="1">
        <v>44512</v>
      </c>
      <c r="B1363" t="s">
        <v>8</v>
      </c>
      <c r="C1363" t="s">
        <v>359</v>
      </c>
      <c r="D1363" t="s">
        <v>30</v>
      </c>
      <c r="E1363" t="s">
        <v>77</v>
      </c>
      <c r="F1363">
        <v>4130</v>
      </c>
      <c r="H1363">
        <f t="shared" si="48"/>
        <v>11</v>
      </c>
      <c r="I1363">
        <f t="shared" si="49"/>
        <v>2021</v>
      </c>
    </row>
    <row r="1364" spans="1:9" x14ac:dyDescent="0.3">
      <c r="A1364" s="1">
        <v>44512</v>
      </c>
      <c r="B1364" t="s">
        <v>356</v>
      </c>
      <c r="G1364">
        <v>3885</v>
      </c>
      <c r="H1364">
        <f t="shared" si="48"/>
        <v>11</v>
      </c>
      <c r="I1364">
        <f t="shared" si="49"/>
        <v>2021</v>
      </c>
    </row>
    <row r="1365" spans="1:9" x14ac:dyDescent="0.3">
      <c r="A1365" s="1">
        <v>44512</v>
      </c>
      <c r="B1365" t="s">
        <v>356</v>
      </c>
      <c r="C1365" t="s">
        <v>173</v>
      </c>
      <c r="D1365" t="s">
        <v>9</v>
      </c>
      <c r="E1365" t="s">
        <v>345</v>
      </c>
      <c r="F1365">
        <v>2340</v>
      </c>
      <c r="H1365">
        <f t="shared" si="48"/>
        <v>11</v>
      </c>
      <c r="I1365">
        <f t="shared" si="49"/>
        <v>2021</v>
      </c>
    </row>
    <row r="1366" spans="1:9" x14ac:dyDescent="0.3">
      <c r="A1366" s="1">
        <v>44512</v>
      </c>
      <c r="B1366" t="s">
        <v>356</v>
      </c>
      <c r="C1366" t="s">
        <v>338</v>
      </c>
      <c r="D1366" t="s">
        <v>23</v>
      </c>
      <c r="E1366" t="s">
        <v>81</v>
      </c>
      <c r="F1366">
        <v>1545</v>
      </c>
      <c r="H1366">
        <f t="shared" si="48"/>
        <v>11</v>
      </c>
      <c r="I1366">
        <f t="shared" si="49"/>
        <v>2021</v>
      </c>
    </row>
    <row r="1367" spans="1:9" x14ac:dyDescent="0.3">
      <c r="A1367" s="1">
        <v>44512</v>
      </c>
      <c r="B1367" t="s">
        <v>75</v>
      </c>
      <c r="G1367">
        <v>13360</v>
      </c>
      <c r="H1367">
        <f t="shared" si="48"/>
        <v>11</v>
      </c>
      <c r="I1367">
        <f t="shared" si="49"/>
        <v>2021</v>
      </c>
    </row>
    <row r="1368" spans="1:9" x14ac:dyDescent="0.3">
      <c r="A1368" s="1">
        <v>44512</v>
      </c>
      <c r="B1368" t="s">
        <v>75</v>
      </c>
      <c r="C1368" t="s">
        <v>339</v>
      </c>
      <c r="D1368" t="s">
        <v>9</v>
      </c>
      <c r="E1368" t="s">
        <v>157</v>
      </c>
      <c r="F1368">
        <v>5100</v>
      </c>
      <c r="H1368">
        <f t="shared" si="48"/>
        <v>11</v>
      </c>
      <c r="I1368">
        <f t="shared" si="49"/>
        <v>2021</v>
      </c>
    </row>
    <row r="1369" spans="1:9" x14ac:dyDescent="0.3">
      <c r="A1369" s="1">
        <v>44512</v>
      </c>
      <c r="B1369" t="s">
        <v>75</v>
      </c>
      <c r="C1369" t="s">
        <v>22</v>
      </c>
      <c r="D1369" t="s">
        <v>37</v>
      </c>
      <c r="E1369" t="s">
        <v>210</v>
      </c>
      <c r="F1369">
        <v>2780</v>
      </c>
      <c r="H1369">
        <f t="shared" si="48"/>
        <v>11</v>
      </c>
      <c r="I1369">
        <f t="shared" si="49"/>
        <v>2021</v>
      </c>
    </row>
    <row r="1370" spans="1:9" x14ac:dyDescent="0.3">
      <c r="A1370" s="1">
        <v>44512</v>
      </c>
      <c r="B1370" t="s">
        <v>75</v>
      </c>
      <c r="C1370" t="s">
        <v>33</v>
      </c>
      <c r="D1370" t="s">
        <v>37</v>
      </c>
      <c r="E1370" t="s">
        <v>151</v>
      </c>
      <c r="F1370">
        <v>5480</v>
      </c>
      <c r="H1370">
        <f t="shared" si="48"/>
        <v>11</v>
      </c>
      <c r="I1370">
        <f t="shared" si="49"/>
        <v>2021</v>
      </c>
    </row>
    <row r="1371" spans="1:9" x14ac:dyDescent="0.3">
      <c r="A1371" s="1">
        <v>44512</v>
      </c>
      <c r="B1371" t="s">
        <v>268</v>
      </c>
      <c r="G1371">
        <v>2775</v>
      </c>
      <c r="H1371">
        <f t="shared" si="48"/>
        <v>11</v>
      </c>
      <c r="I1371">
        <f t="shared" si="49"/>
        <v>2021</v>
      </c>
    </row>
    <row r="1372" spans="1:9" x14ac:dyDescent="0.3">
      <c r="A1372" s="1">
        <v>44512</v>
      </c>
      <c r="B1372" t="s">
        <v>268</v>
      </c>
      <c r="C1372" t="s">
        <v>148</v>
      </c>
      <c r="D1372" t="s">
        <v>61</v>
      </c>
      <c r="E1372" t="s">
        <v>149</v>
      </c>
      <c r="F1372">
        <v>2775</v>
      </c>
      <c r="H1372">
        <f t="shared" si="48"/>
        <v>11</v>
      </c>
      <c r="I1372">
        <f t="shared" si="49"/>
        <v>2021</v>
      </c>
    </row>
    <row r="1373" spans="1:9" x14ac:dyDescent="0.3">
      <c r="A1373" s="1">
        <v>44512</v>
      </c>
      <c r="B1373" t="s">
        <v>193</v>
      </c>
      <c r="G1373">
        <v>9864</v>
      </c>
      <c r="H1373">
        <f t="shared" si="48"/>
        <v>11</v>
      </c>
      <c r="I1373">
        <f t="shared" si="49"/>
        <v>2021</v>
      </c>
    </row>
    <row r="1374" spans="1:9" x14ac:dyDescent="0.3">
      <c r="A1374" s="1">
        <v>44512</v>
      </c>
      <c r="B1374" t="s">
        <v>193</v>
      </c>
      <c r="C1374" t="s">
        <v>33</v>
      </c>
      <c r="D1374" t="s">
        <v>163</v>
      </c>
      <c r="E1374" t="s">
        <v>151</v>
      </c>
      <c r="F1374">
        <v>9864</v>
      </c>
      <c r="H1374">
        <f t="shared" si="48"/>
        <v>11</v>
      </c>
      <c r="I1374">
        <f t="shared" si="49"/>
        <v>2021</v>
      </c>
    </row>
    <row r="1375" spans="1:9" x14ac:dyDescent="0.3">
      <c r="A1375" s="1">
        <v>44513</v>
      </c>
      <c r="B1375" t="s">
        <v>8</v>
      </c>
      <c r="G1375">
        <v>23395</v>
      </c>
      <c r="H1375">
        <f t="shared" si="48"/>
        <v>11</v>
      </c>
      <c r="I1375">
        <f t="shared" si="49"/>
        <v>2021</v>
      </c>
    </row>
    <row r="1376" spans="1:9" x14ac:dyDescent="0.3">
      <c r="A1376" s="1">
        <v>44513</v>
      </c>
      <c r="B1376" t="s">
        <v>8</v>
      </c>
      <c r="C1376" t="s">
        <v>359</v>
      </c>
      <c r="D1376" t="s">
        <v>25</v>
      </c>
      <c r="E1376" t="s">
        <v>77</v>
      </c>
      <c r="F1376">
        <v>2950</v>
      </c>
      <c r="H1376">
        <f t="shared" si="48"/>
        <v>11</v>
      </c>
      <c r="I1376">
        <f t="shared" si="49"/>
        <v>2021</v>
      </c>
    </row>
    <row r="1377" spans="1:9" x14ac:dyDescent="0.3">
      <c r="A1377" s="1">
        <v>44513</v>
      </c>
      <c r="B1377" t="s">
        <v>8</v>
      </c>
      <c r="C1377" t="s">
        <v>40</v>
      </c>
      <c r="D1377" t="s">
        <v>54</v>
      </c>
      <c r="E1377" t="s">
        <v>104</v>
      </c>
      <c r="F1377">
        <v>13200</v>
      </c>
      <c r="H1377">
        <f t="shared" si="48"/>
        <v>11</v>
      </c>
      <c r="I1377">
        <f t="shared" si="49"/>
        <v>2021</v>
      </c>
    </row>
    <row r="1378" spans="1:9" x14ac:dyDescent="0.3">
      <c r="A1378" s="1">
        <v>44513</v>
      </c>
      <c r="B1378" t="s">
        <v>8</v>
      </c>
      <c r="C1378" t="s">
        <v>38</v>
      </c>
      <c r="D1378" t="s">
        <v>61</v>
      </c>
      <c r="E1378" t="s">
        <v>13</v>
      </c>
      <c r="F1378">
        <v>5175</v>
      </c>
      <c r="H1378">
        <f t="shared" si="48"/>
        <v>11</v>
      </c>
      <c r="I1378">
        <f t="shared" si="49"/>
        <v>2021</v>
      </c>
    </row>
    <row r="1379" spans="1:9" x14ac:dyDescent="0.3">
      <c r="A1379" s="1">
        <v>44513</v>
      </c>
      <c r="B1379" t="s">
        <v>8</v>
      </c>
      <c r="C1379" t="s">
        <v>11</v>
      </c>
      <c r="D1379" t="s">
        <v>18</v>
      </c>
      <c r="E1379" t="s">
        <v>13</v>
      </c>
      <c r="F1379">
        <v>2070</v>
      </c>
      <c r="H1379">
        <f t="shared" si="48"/>
        <v>11</v>
      </c>
      <c r="I1379">
        <f t="shared" si="49"/>
        <v>2021</v>
      </c>
    </row>
    <row r="1380" spans="1:9" x14ac:dyDescent="0.3">
      <c r="A1380" s="1">
        <v>44516</v>
      </c>
      <c r="B1380" t="s">
        <v>143</v>
      </c>
      <c r="G1380">
        <v>1280</v>
      </c>
      <c r="H1380">
        <f t="shared" si="48"/>
        <v>11</v>
      </c>
      <c r="I1380">
        <f t="shared" si="49"/>
        <v>2021</v>
      </c>
    </row>
    <row r="1381" spans="1:9" x14ac:dyDescent="0.3">
      <c r="A1381" s="1">
        <v>44516</v>
      </c>
      <c r="B1381" t="s">
        <v>143</v>
      </c>
      <c r="C1381" t="s">
        <v>89</v>
      </c>
      <c r="D1381" t="s">
        <v>93</v>
      </c>
      <c r="E1381" t="s">
        <v>90</v>
      </c>
      <c r="F1381">
        <v>1280</v>
      </c>
      <c r="H1381">
        <f t="shared" si="48"/>
        <v>11</v>
      </c>
      <c r="I1381">
        <f t="shared" si="49"/>
        <v>2021</v>
      </c>
    </row>
    <row r="1382" spans="1:9" x14ac:dyDescent="0.3">
      <c r="A1382" s="1">
        <v>44516</v>
      </c>
      <c r="B1382" t="s">
        <v>85</v>
      </c>
      <c r="G1382">
        <v>8210</v>
      </c>
      <c r="H1382">
        <f t="shared" si="48"/>
        <v>11</v>
      </c>
      <c r="I1382">
        <f t="shared" si="49"/>
        <v>2021</v>
      </c>
    </row>
    <row r="1383" spans="1:9" x14ac:dyDescent="0.3">
      <c r="A1383" s="1">
        <v>44516</v>
      </c>
      <c r="B1383" t="s">
        <v>85</v>
      </c>
      <c r="C1383" t="s">
        <v>338</v>
      </c>
      <c r="D1383" t="s">
        <v>18</v>
      </c>
      <c r="E1383" t="s">
        <v>81</v>
      </c>
      <c r="F1383">
        <v>3090</v>
      </c>
      <c r="H1383">
        <f t="shared" si="48"/>
        <v>11</v>
      </c>
      <c r="I1383">
        <f t="shared" si="49"/>
        <v>2021</v>
      </c>
    </row>
    <row r="1384" spans="1:9" x14ac:dyDescent="0.3">
      <c r="A1384" s="1">
        <v>44516</v>
      </c>
      <c r="B1384" t="s">
        <v>85</v>
      </c>
      <c r="C1384" t="s">
        <v>22</v>
      </c>
      <c r="D1384" t="s">
        <v>37</v>
      </c>
      <c r="E1384" t="s">
        <v>210</v>
      </c>
      <c r="F1384">
        <v>2780</v>
      </c>
      <c r="H1384">
        <f t="shared" si="48"/>
        <v>11</v>
      </c>
      <c r="I1384">
        <f t="shared" si="49"/>
        <v>2021</v>
      </c>
    </row>
    <row r="1385" spans="1:9" x14ac:dyDescent="0.3">
      <c r="A1385" s="1">
        <v>44516</v>
      </c>
      <c r="B1385" t="s">
        <v>85</v>
      </c>
      <c r="C1385" t="s">
        <v>173</v>
      </c>
      <c r="D1385" t="s">
        <v>9</v>
      </c>
      <c r="E1385" t="s">
        <v>345</v>
      </c>
      <c r="F1385">
        <v>2340</v>
      </c>
      <c r="H1385">
        <f t="shared" si="48"/>
        <v>11</v>
      </c>
      <c r="I1385">
        <f t="shared" si="49"/>
        <v>2021</v>
      </c>
    </row>
    <row r="1386" spans="1:9" x14ac:dyDescent="0.3">
      <c r="A1386" s="1">
        <v>44516</v>
      </c>
      <c r="B1386" t="s">
        <v>220</v>
      </c>
      <c r="G1386">
        <v>1545</v>
      </c>
      <c r="H1386">
        <f t="shared" si="48"/>
        <v>11</v>
      </c>
      <c r="I1386">
        <f t="shared" si="49"/>
        <v>2021</v>
      </c>
    </row>
    <row r="1387" spans="1:9" x14ac:dyDescent="0.3">
      <c r="A1387" s="1">
        <v>44516</v>
      </c>
      <c r="B1387" t="s">
        <v>220</v>
      </c>
      <c r="C1387" t="s">
        <v>338</v>
      </c>
      <c r="D1387" t="s">
        <v>23</v>
      </c>
      <c r="E1387" t="s">
        <v>81</v>
      </c>
      <c r="F1387">
        <v>1545</v>
      </c>
      <c r="H1387">
        <f t="shared" si="48"/>
        <v>11</v>
      </c>
      <c r="I1387">
        <f t="shared" si="49"/>
        <v>2021</v>
      </c>
    </row>
    <row r="1388" spans="1:9" x14ac:dyDescent="0.3">
      <c r="A1388" s="1">
        <v>44516</v>
      </c>
      <c r="B1388" t="s">
        <v>195</v>
      </c>
      <c r="G1388">
        <v>1668</v>
      </c>
      <c r="H1388">
        <f t="shared" si="48"/>
        <v>11</v>
      </c>
      <c r="I1388">
        <f t="shared" si="49"/>
        <v>2021</v>
      </c>
    </row>
    <row r="1389" spans="1:9" x14ac:dyDescent="0.3">
      <c r="A1389" s="1">
        <v>44516</v>
      </c>
      <c r="B1389" t="s">
        <v>195</v>
      </c>
      <c r="C1389" t="s">
        <v>22</v>
      </c>
      <c r="D1389" t="s">
        <v>18</v>
      </c>
      <c r="E1389" t="s">
        <v>210</v>
      </c>
      <c r="F1389">
        <v>1668</v>
      </c>
      <c r="H1389">
        <f t="shared" si="48"/>
        <v>11</v>
      </c>
      <c r="I1389">
        <f t="shared" si="49"/>
        <v>2021</v>
      </c>
    </row>
    <row r="1390" spans="1:9" x14ac:dyDescent="0.3">
      <c r="A1390" s="1">
        <v>44516</v>
      </c>
      <c r="B1390" t="s">
        <v>75</v>
      </c>
      <c r="G1390">
        <v>3000</v>
      </c>
      <c r="H1390">
        <f t="shared" si="48"/>
        <v>11</v>
      </c>
      <c r="I1390">
        <f t="shared" si="49"/>
        <v>2021</v>
      </c>
    </row>
    <row r="1391" spans="1:9" x14ac:dyDescent="0.3">
      <c r="A1391" s="1">
        <v>44516</v>
      </c>
      <c r="B1391" t="s">
        <v>75</v>
      </c>
      <c r="C1391" t="s">
        <v>194</v>
      </c>
      <c r="D1391">
        <v>417</v>
      </c>
      <c r="F1391">
        <v>3000</v>
      </c>
      <c r="H1391">
        <f t="shared" si="48"/>
        <v>11</v>
      </c>
      <c r="I1391">
        <f t="shared" si="49"/>
        <v>2021</v>
      </c>
    </row>
    <row r="1392" spans="1:9" x14ac:dyDescent="0.3">
      <c r="A1392" s="1">
        <v>44516</v>
      </c>
      <c r="B1392" t="s">
        <v>75</v>
      </c>
      <c r="C1392" t="s">
        <v>359</v>
      </c>
      <c r="D1392" t="s">
        <v>25</v>
      </c>
      <c r="E1392" t="s">
        <v>160</v>
      </c>
      <c r="F1392">
        <v>3000</v>
      </c>
      <c r="H1392">
        <f t="shared" si="48"/>
        <v>11</v>
      </c>
      <c r="I1392">
        <f t="shared" si="49"/>
        <v>2021</v>
      </c>
    </row>
    <row r="1393" spans="1:9" x14ac:dyDescent="0.3">
      <c r="A1393" s="1">
        <v>44516</v>
      </c>
      <c r="B1393" t="s">
        <v>8</v>
      </c>
      <c r="G1393">
        <v>14750</v>
      </c>
      <c r="H1393">
        <f t="shared" si="48"/>
        <v>11</v>
      </c>
      <c r="I1393">
        <f t="shared" si="49"/>
        <v>2021</v>
      </c>
    </row>
    <row r="1394" spans="1:9" x14ac:dyDescent="0.3">
      <c r="A1394" s="1">
        <v>44516</v>
      </c>
      <c r="B1394" t="s">
        <v>8</v>
      </c>
      <c r="C1394" t="s">
        <v>359</v>
      </c>
      <c r="D1394" t="s">
        <v>80</v>
      </c>
      <c r="E1394" t="s">
        <v>77</v>
      </c>
      <c r="F1394">
        <v>14750</v>
      </c>
      <c r="H1394">
        <f t="shared" si="48"/>
        <v>11</v>
      </c>
      <c r="I1394">
        <f t="shared" si="49"/>
        <v>2021</v>
      </c>
    </row>
    <row r="1395" spans="1:9" x14ac:dyDescent="0.3">
      <c r="A1395" s="1">
        <v>44516</v>
      </c>
      <c r="B1395" t="s">
        <v>82</v>
      </c>
      <c r="G1395">
        <v>7200</v>
      </c>
      <c r="H1395">
        <f t="shared" si="48"/>
        <v>11</v>
      </c>
      <c r="I1395">
        <f t="shared" si="49"/>
        <v>2021</v>
      </c>
    </row>
    <row r="1396" spans="1:9" x14ac:dyDescent="0.3">
      <c r="A1396" s="1">
        <v>44516</v>
      </c>
      <c r="B1396" t="s">
        <v>82</v>
      </c>
      <c r="C1396" t="s">
        <v>359</v>
      </c>
      <c r="D1396" t="s">
        <v>16</v>
      </c>
      <c r="E1396" t="s">
        <v>160</v>
      </c>
      <c r="F1396">
        <v>7200</v>
      </c>
      <c r="H1396">
        <f t="shared" si="48"/>
        <v>11</v>
      </c>
      <c r="I1396">
        <f t="shared" si="49"/>
        <v>2021</v>
      </c>
    </row>
    <row r="1397" spans="1:9" x14ac:dyDescent="0.3">
      <c r="A1397" s="1">
        <v>44516</v>
      </c>
      <c r="B1397" t="s">
        <v>3</v>
      </c>
      <c r="G1397">
        <v>3860</v>
      </c>
      <c r="H1397">
        <f t="shared" si="48"/>
        <v>11</v>
      </c>
      <c r="I1397">
        <f t="shared" si="49"/>
        <v>2021</v>
      </c>
    </row>
    <row r="1398" spans="1:9" x14ac:dyDescent="0.3">
      <c r="A1398" s="1">
        <v>44516</v>
      </c>
      <c r="B1398" t="s">
        <v>3</v>
      </c>
      <c r="C1398" t="s">
        <v>98</v>
      </c>
      <c r="D1398" t="s">
        <v>25</v>
      </c>
      <c r="E1398" t="s">
        <v>31</v>
      </c>
      <c r="F1398">
        <v>2600</v>
      </c>
      <c r="H1398">
        <f t="shared" si="48"/>
        <v>11</v>
      </c>
      <c r="I1398">
        <f t="shared" si="49"/>
        <v>2021</v>
      </c>
    </row>
    <row r="1399" spans="1:9" x14ac:dyDescent="0.3">
      <c r="A1399" s="1">
        <v>44516</v>
      </c>
      <c r="B1399" t="s">
        <v>3</v>
      </c>
      <c r="C1399" t="s">
        <v>211</v>
      </c>
      <c r="D1399" t="s">
        <v>23</v>
      </c>
      <c r="E1399" t="s">
        <v>79</v>
      </c>
      <c r="F1399">
        <v>1260</v>
      </c>
      <c r="H1399">
        <f t="shared" si="48"/>
        <v>11</v>
      </c>
      <c r="I1399">
        <f t="shared" si="49"/>
        <v>2021</v>
      </c>
    </row>
    <row r="1400" spans="1:9" x14ac:dyDescent="0.3">
      <c r="A1400" s="1">
        <v>44518</v>
      </c>
      <c r="B1400" t="s">
        <v>32</v>
      </c>
      <c r="G1400">
        <v>10146</v>
      </c>
      <c r="H1400">
        <f t="shared" si="48"/>
        <v>11</v>
      </c>
      <c r="I1400">
        <f t="shared" si="49"/>
        <v>2021</v>
      </c>
    </row>
    <row r="1401" spans="1:9" x14ac:dyDescent="0.3">
      <c r="A1401" s="1">
        <v>44518</v>
      </c>
      <c r="B1401" t="s">
        <v>32</v>
      </c>
      <c r="C1401" t="s">
        <v>33</v>
      </c>
      <c r="D1401" t="s">
        <v>18</v>
      </c>
      <c r="E1401" t="s">
        <v>348</v>
      </c>
      <c r="F1401">
        <v>3276</v>
      </c>
      <c r="H1401">
        <f t="shared" si="48"/>
        <v>11</v>
      </c>
      <c r="I1401">
        <f t="shared" si="49"/>
        <v>2021</v>
      </c>
    </row>
    <row r="1402" spans="1:9" x14ac:dyDescent="0.3">
      <c r="A1402" s="1">
        <v>44518</v>
      </c>
      <c r="B1402" t="s">
        <v>32</v>
      </c>
      <c r="C1402" t="s">
        <v>173</v>
      </c>
      <c r="D1402" t="s">
        <v>9</v>
      </c>
      <c r="E1402" t="s">
        <v>345</v>
      </c>
      <c r="F1402">
        <v>2340</v>
      </c>
      <c r="H1402">
        <f t="shared" si="48"/>
        <v>11</v>
      </c>
      <c r="I1402">
        <f t="shared" si="49"/>
        <v>2021</v>
      </c>
    </row>
    <row r="1403" spans="1:9" x14ac:dyDescent="0.3">
      <c r="A1403" s="1">
        <v>44518</v>
      </c>
      <c r="B1403" t="s">
        <v>32</v>
      </c>
      <c r="C1403" t="s">
        <v>211</v>
      </c>
      <c r="D1403" t="s">
        <v>18</v>
      </c>
      <c r="E1403" t="s">
        <v>212</v>
      </c>
      <c r="F1403">
        <v>2490</v>
      </c>
      <c r="H1403">
        <f t="shared" si="48"/>
        <v>11</v>
      </c>
      <c r="I1403">
        <f t="shared" si="49"/>
        <v>2021</v>
      </c>
    </row>
    <row r="1404" spans="1:9" x14ac:dyDescent="0.3">
      <c r="A1404" s="1">
        <v>44518</v>
      </c>
      <c r="B1404" t="s">
        <v>32</v>
      </c>
      <c r="C1404" t="s">
        <v>159</v>
      </c>
      <c r="D1404" t="s">
        <v>9</v>
      </c>
      <c r="E1404" t="s">
        <v>362</v>
      </c>
      <c r="F1404">
        <v>2040</v>
      </c>
      <c r="H1404">
        <f t="shared" si="48"/>
        <v>11</v>
      </c>
      <c r="I1404">
        <f t="shared" si="49"/>
        <v>2021</v>
      </c>
    </row>
    <row r="1405" spans="1:9" x14ac:dyDescent="0.3">
      <c r="A1405" s="1">
        <v>44518</v>
      </c>
      <c r="B1405" t="s">
        <v>110</v>
      </c>
      <c r="G1405">
        <v>25200</v>
      </c>
      <c r="H1405">
        <f t="shared" si="48"/>
        <v>11</v>
      </c>
      <c r="I1405">
        <f t="shared" si="49"/>
        <v>2021</v>
      </c>
    </row>
    <row r="1406" spans="1:9" x14ac:dyDescent="0.3">
      <c r="A1406" s="1">
        <v>44518</v>
      </c>
      <c r="B1406" t="s">
        <v>110</v>
      </c>
      <c r="C1406" t="s">
        <v>112</v>
      </c>
      <c r="D1406" t="s">
        <v>54</v>
      </c>
      <c r="E1406" t="s">
        <v>67</v>
      </c>
      <c r="F1406">
        <v>25200</v>
      </c>
      <c r="H1406">
        <f t="shared" si="48"/>
        <v>11</v>
      </c>
      <c r="I1406">
        <f t="shared" si="49"/>
        <v>2021</v>
      </c>
    </row>
    <row r="1407" spans="1:9" x14ac:dyDescent="0.3">
      <c r="A1407" s="1">
        <v>44518</v>
      </c>
      <c r="B1407" t="s">
        <v>3</v>
      </c>
      <c r="G1407">
        <v>1960</v>
      </c>
      <c r="H1407">
        <f t="shared" si="48"/>
        <v>11</v>
      </c>
      <c r="I1407">
        <f t="shared" si="49"/>
        <v>2021</v>
      </c>
    </row>
    <row r="1408" spans="1:9" x14ac:dyDescent="0.3">
      <c r="A1408" s="1">
        <v>44518</v>
      </c>
      <c r="B1408" t="s">
        <v>3</v>
      </c>
      <c r="C1408" t="s">
        <v>112</v>
      </c>
      <c r="D1408" t="s">
        <v>23</v>
      </c>
      <c r="E1408" t="s">
        <v>363</v>
      </c>
      <c r="F1408">
        <v>1960</v>
      </c>
      <c r="H1408">
        <f t="shared" si="48"/>
        <v>11</v>
      </c>
      <c r="I1408">
        <f t="shared" si="49"/>
        <v>2021</v>
      </c>
    </row>
    <row r="1409" spans="1:9" x14ac:dyDescent="0.3">
      <c r="A1409" s="1">
        <v>44521</v>
      </c>
      <c r="B1409" t="s">
        <v>234</v>
      </c>
      <c r="G1409">
        <v>19690</v>
      </c>
      <c r="H1409">
        <f t="shared" si="48"/>
        <v>11</v>
      </c>
      <c r="I1409">
        <f t="shared" si="49"/>
        <v>2021</v>
      </c>
    </row>
    <row r="1410" spans="1:9" x14ac:dyDescent="0.3">
      <c r="A1410" s="1">
        <v>44521</v>
      </c>
      <c r="B1410" t="s">
        <v>234</v>
      </c>
      <c r="C1410" t="s">
        <v>198</v>
      </c>
      <c r="D1410" t="s">
        <v>37</v>
      </c>
      <c r="E1410" t="s">
        <v>177</v>
      </c>
      <c r="F1410">
        <v>1800</v>
      </c>
      <c r="H1410">
        <f t="shared" si="48"/>
        <v>11</v>
      </c>
      <c r="I1410">
        <f t="shared" si="49"/>
        <v>2021</v>
      </c>
    </row>
    <row r="1411" spans="1:9" x14ac:dyDescent="0.3">
      <c r="A1411" s="1">
        <v>44521</v>
      </c>
      <c r="B1411" t="s">
        <v>234</v>
      </c>
      <c r="C1411" t="s">
        <v>94</v>
      </c>
      <c r="D1411" t="s">
        <v>251</v>
      </c>
      <c r="E1411" t="s">
        <v>186</v>
      </c>
      <c r="F1411">
        <v>3800</v>
      </c>
      <c r="H1411">
        <f t="shared" si="48"/>
        <v>11</v>
      </c>
      <c r="I1411">
        <f t="shared" si="49"/>
        <v>2021</v>
      </c>
    </row>
    <row r="1412" spans="1:9" x14ac:dyDescent="0.3">
      <c r="A1412" s="1">
        <v>44521</v>
      </c>
      <c r="B1412" t="s">
        <v>234</v>
      </c>
      <c r="C1412" t="s">
        <v>359</v>
      </c>
      <c r="D1412" t="s">
        <v>18</v>
      </c>
      <c r="E1412" t="s">
        <v>77</v>
      </c>
      <c r="F1412">
        <v>3540</v>
      </c>
      <c r="H1412">
        <f t="shared" ref="H1412:H1470" si="50">MONTH(A1412)</f>
        <v>11</v>
      </c>
      <c r="I1412">
        <f t="shared" ref="I1412:I1470" si="51">YEAR(A1412)</f>
        <v>2021</v>
      </c>
    </row>
    <row r="1413" spans="1:9" x14ac:dyDescent="0.3">
      <c r="A1413" s="1">
        <v>44521</v>
      </c>
      <c r="B1413" t="s">
        <v>234</v>
      </c>
      <c r="C1413" t="s">
        <v>108</v>
      </c>
      <c r="D1413" t="s">
        <v>18</v>
      </c>
      <c r="E1413" t="s">
        <v>99</v>
      </c>
      <c r="F1413">
        <v>3240</v>
      </c>
      <c r="H1413">
        <f t="shared" si="50"/>
        <v>11</v>
      </c>
      <c r="I1413">
        <f t="shared" si="51"/>
        <v>2021</v>
      </c>
    </row>
    <row r="1414" spans="1:9" x14ac:dyDescent="0.3">
      <c r="A1414" s="1">
        <v>44521</v>
      </c>
      <c r="B1414" t="s">
        <v>234</v>
      </c>
      <c r="C1414" t="s">
        <v>135</v>
      </c>
      <c r="D1414" t="s">
        <v>5</v>
      </c>
      <c r="E1414" t="s">
        <v>35</v>
      </c>
      <c r="F1414">
        <v>620</v>
      </c>
      <c r="H1414">
        <f t="shared" si="50"/>
        <v>11</v>
      </c>
      <c r="I1414">
        <f t="shared" si="51"/>
        <v>2021</v>
      </c>
    </row>
    <row r="1415" spans="1:9" x14ac:dyDescent="0.3">
      <c r="A1415" s="1">
        <v>44521</v>
      </c>
      <c r="B1415" t="s">
        <v>234</v>
      </c>
      <c r="C1415" t="s">
        <v>325</v>
      </c>
      <c r="D1415" t="s">
        <v>18</v>
      </c>
      <c r="E1415" t="s">
        <v>13</v>
      </c>
      <c r="F1415">
        <v>2070</v>
      </c>
      <c r="H1415">
        <f t="shared" si="50"/>
        <v>11</v>
      </c>
      <c r="I1415">
        <f t="shared" si="51"/>
        <v>2021</v>
      </c>
    </row>
    <row r="1416" spans="1:9" x14ac:dyDescent="0.3">
      <c r="A1416" s="1">
        <v>44521</v>
      </c>
      <c r="B1416" t="s">
        <v>234</v>
      </c>
      <c r="C1416" t="s">
        <v>38</v>
      </c>
      <c r="D1416" t="s">
        <v>93</v>
      </c>
      <c r="E1416" t="s">
        <v>13</v>
      </c>
      <c r="F1416">
        <v>1380</v>
      </c>
      <c r="H1416">
        <f t="shared" si="50"/>
        <v>11</v>
      </c>
      <c r="I1416">
        <f t="shared" si="51"/>
        <v>2021</v>
      </c>
    </row>
    <row r="1417" spans="1:9" x14ac:dyDescent="0.3">
      <c r="A1417" s="1">
        <v>44521</v>
      </c>
      <c r="B1417" t="s">
        <v>234</v>
      </c>
      <c r="C1417" t="s">
        <v>98</v>
      </c>
      <c r="D1417" t="s">
        <v>18</v>
      </c>
      <c r="E1417" t="s">
        <v>99</v>
      </c>
      <c r="F1417">
        <v>3240</v>
      </c>
      <c r="H1417">
        <f t="shared" si="50"/>
        <v>11</v>
      </c>
      <c r="I1417">
        <f t="shared" si="51"/>
        <v>2021</v>
      </c>
    </row>
    <row r="1418" spans="1:9" x14ac:dyDescent="0.3">
      <c r="A1418" s="1">
        <v>44521</v>
      </c>
      <c r="B1418" t="s">
        <v>75</v>
      </c>
      <c r="G1418">
        <v>2950</v>
      </c>
      <c r="H1418">
        <f t="shared" si="50"/>
        <v>11</v>
      </c>
      <c r="I1418">
        <f t="shared" si="51"/>
        <v>2021</v>
      </c>
    </row>
    <row r="1419" spans="1:9" x14ac:dyDescent="0.3">
      <c r="A1419" s="1">
        <v>44521</v>
      </c>
      <c r="B1419" t="s">
        <v>75</v>
      </c>
      <c r="C1419" t="s">
        <v>359</v>
      </c>
      <c r="D1419" t="s">
        <v>25</v>
      </c>
      <c r="E1419" t="s">
        <v>77</v>
      </c>
      <c r="F1419">
        <v>2950</v>
      </c>
      <c r="H1419">
        <f t="shared" si="50"/>
        <v>11</v>
      </c>
      <c r="I1419">
        <f t="shared" si="51"/>
        <v>2021</v>
      </c>
    </row>
    <row r="1420" spans="1:9" x14ac:dyDescent="0.3">
      <c r="A1420" s="1">
        <v>44521</v>
      </c>
      <c r="B1420" t="s">
        <v>36</v>
      </c>
      <c r="G1420">
        <v>3540</v>
      </c>
      <c r="H1420">
        <f t="shared" si="50"/>
        <v>11</v>
      </c>
      <c r="I1420">
        <f t="shared" si="51"/>
        <v>2021</v>
      </c>
    </row>
    <row r="1421" spans="1:9" x14ac:dyDescent="0.3">
      <c r="A1421" s="1">
        <v>44521</v>
      </c>
      <c r="B1421" t="s">
        <v>36</v>
      </c>
      <c r="C1421" t="s">
        <v>359</v>
      </c>
      <c r="D1421" t="s">
        <v>18</v>
      </c>
      <c r="E1421" t="s">
        <v>77</v>
      </c>
      <c r="F1421">
        <v>3540</v>
      </c>
      <c r="H1421">
        <f t="shared" si="50"/>
        <v>11</v>
      </c>
      <c r="I1421">
        <f t="shared" si="51"/>
        <v>2021</v>
      </c>
    </row>
    <row r="1422" spans="1:9" x14ac:dyDescent="0.3">
      <c r="A1422" s="1">
        <v>44523</v>
      </c>
      <c r="B1422" t="s">
        <v>51</v>
      </c>
      <c r="G1422">
        <v>4720</v>
      </c>
      <c r="H1422">
        <f t="shared" si="50"/>
        <v>11</v>
      </c>
      <c r="I1422">
        <f t="shared" si="51"/>
        <v>2021</v>
      </c>
    </row>
    <row r="1423" spans="1:9" x14ac:dyDescent="0.3">
      <c r="A1423" s="1">
        <v>44523</v>
      </c>
      <c r="B1423" t="s">
        <v>51</v>
      </c>
      <c r="C1423" t="s">
        <v>359</v>
      </c>
      <c r="D1423" t="s">
        <v>59</v>
      </c>
      <c r="E1423" t="s">
        <v>77</v>
      </c>
      <c r="F1423">
        <v>4720</v>
      </c>
      <c r="H1423">
        <f t="shared" si="50"/>
        <v>11</v>
      </c>
      <c r="I1423">
        <f t="shared" si="51"/>
        <v>2021</v>
      </c>
    </row>
    <row r="1424" spans="1:9" x14ac:dyDescent="0.3">
      <c r="A1424" s="1">
        <v>44523</v>
      </c>
      <c r="B1424" t="s">
        <v>50</v>
      </c>
      <c r="G1424">
        <v>5310</v>
      </c>
      <c r="H1424">
        <f t="shared" si="50"/>
        <v>11</v>
      </c>
      <c r="I1424">
        <f t="shared" si="51"/>
        <v>2021</v>
      </c>
    </row>
    <row r="1425" spans="1:9" x14ac:dyDescent="0.3">
      <c r="A1425" s="1">
        <v>44523</v>
      </c>
      <c r="B1425" t="s">
        <v>50</v>
      </c>
      <c r="C1425" t="s">
        <v>359</v>
      </c>
      <c r="D1425" t="s">
        <v>78</v>
      </c>
      <c r="E1425" t="s">
        <v>77</v>
      </c>
      <c r="F1425">
        <v>5310</v>
      </c>
      <c r="H1425">
        <f t="shared" si="50"/>
        <v>11</v>
      </c>
      <c r="I1425">
        <f t="shared" si="51"/>
        <v>2021</v>
      </c>
    </row>
    <row r="1426" spans="1:9" x14ac:dyDescent="0.3">
      <c r="A1426" s="1">
        <v>44523</v>
      </c>
      <c r="B1426" t="s">
        <v>96</v>
      </c>
      <c r="G1426">
        <v>4800</v>
      </c>
      <c r="H1426">
        <f t="shared" si="50"/>
        <v>11</v>
      </c>
      <c r="I1426">
        <f t="shared" si="51"/>
        <v>2021</v>
      </c>
    </row>
    <row r="1427" spans="1:9" x14ac:dyDescent="0.3">
      <c r="A1427" s="1">
        <v>44523</v>
      </c>
      <c r="B1427" t="s">
        <v>96</v>
      </c>
      <c r="C1427" t="s">
        <v>359</v>
      </c>
      <c r="D1427" t="s">
        <v>59</v>
      </c>
      <c r="E1427" t="s">
        <v>160</v>
      </c>
      <c r="F1427">
        <v>4800</v>
      </c>
      <c r="H1427">
        <f t="shared" si="50"/>
        <v>11</v>
      </c>
      <c r="I1427">
        <f t="shared" si="51"/>
        <v>2021</v>
      </c>
    </row>
    <row r="1428" spans="1:9" x14ac:dyDescent="0.3">
      <c r="A1428" s="1">
        <v>44523</v>
      </c>
      <c r="B1428" t="s">
        <v>3</v>
      </c>
      <c r="G1428">
        <v>2720</v>
      </c>
      <c r="H1428">
        <f t="shared" si="50"/>
        <v>11</v>
      </c>
      <c r="I1428">
        <f t="shared" si="51"/>
        <v>2021</v>
      </c>
    </row>
    <row r="1429" spans="1:9" x14ac:dyDescent="0.3">
      <c r="A1429" s="1">
        <v>44523</v>
      </c>
      <c r="B1429" t="s">
        <v>3</v>
      </c>
      <c r="C1429" t="s">
        <v>325</v>
      </c>
      <c r="D1429" t="s">
        <v>59</v>
      </c>
      <c r="E1429" t="s">
        <v>118</v>
      </c>
      <c r="F1429">
        <v>2720</v>
      </c>
      <c r="H1429">
        <f t="shared" si="50"/>
        <v>11</v>
      </c>
      <c r="I1429">
        <f t="shared" si="51"/>
        <v>2021</v>
      </c>
    </row>
    <row r="1430" spans="1:9" x14ac:dyDescent="0.3">
      <c r="A1430" s="1">
        <v>44523</v>
      </c>
      <c r="B1430" t="s">
        <v>75</v>
      </c>
      <c r="G1430">
        <v>7920</v>
      </c>
      <c r="H1430">
        <f t="shared" si="50"/>
        <v>11</v>
      </c>
      <c r="I1430">
        <f t="shared" si="51"/>
        <v>2021</v>
      </c>
    </row>
    <row r="1431" spans="1:9" x14ac:dyDescent="0.3">
      <c r="A1431" s="1">
        <v>44523</v>
      </c>
      <c r="B1431" t="s">
        <v>75</v>
      </c>
      <c r="C1431" t="s">
        <v>271</v>
      </c>
      <c r="D1431" t="s">
        <v>23</v>
      </c>
      <c r="E1431" t="s">
        <v>347</v>
      </c>
      <c r="F1431">
        <v>7920</v>
      </c>
      <c r="H1431">
        <f t="shared" si="50"/>
        <v>11</v>
      </c>
      <c r="I1431">
        <f t="shared" si="51"/>
        <v>2021</v>
      </c>
    </row>
    <row r="1432" spans="1:9" x14ac:dyDescent="0.3">
      <c r="A1432" s="1">
        <v>44524</v>
      </c>
      <c r="B1432" t="s">
        <v>3</v>
      </c>
      <c r="G1432">
        <v>7205</v>
      </c>
      <c r="H1432">
        <f t="shared" si="50"/>
        <v>11</v>
      </c>
      <c r="I1432">
        <f t="shared" si="51"/>
        <v>2021</v>
      </c>
    </row>
    <row r="1433" spans="1:9" x14ac:dyDescent="0.3">
      <c r="A1433" s="1">
        <v>44524</v>
      </c>
      <c r="B1433" t="s">
        <v>3</v>
      </c>
      <c r="C1433" t="s">
        <v>324</v>
      </c>
      <c r="D1433" t="s">
        <v>93</v>
      </c>
      <c r="E1433" t="s">
        <v>13</v>
      </c>
      <c r="F1433">
        <v>1380</v>
      </c>
      <c r="H1433">
        <f t="shared" si="50"/>
        <v>11</v>
      </c>
      <c r="I1433">
        <f t="shared" si="51"/>
        <v>2021</v>
      </c>
    </row>
    <row r="1434" spans="1:9" x14ac:dyDescent="0.3">
      <c r="A1434" s="1">
        <v>44524</v>
      </c>
      <c r="B1434" t="s">
        <v>3</v>
      </c>
      <c r="C1434" t="s">
        <v>40</v>
      </c>
      <c r="D1434" t="s">
        <v>37</v>
      </c>
      <c r="E1434" t="s">
        <v>104</v>
      </c>
      <c r="F1434">
        <v>3300</v>
      </c>
      <c r="H1434">
        <f t="shared" si="50"/>
        <v>11</v>
      </c>
      <c r="I1434">
        <f t="shared" si="51"/>
        <v>2021</v>
      </c>
    </row>
    <row r="1435" spans="1:9" x14ac:dyDescent="0.3">
      <c r="A1435" s="1">
        <v>44524</v>
      </c>
      <c r="B1435" t="s">
        <v>3</v>
      </c>
      <c r="C1435" t="s">
        <v>38</v>
      </c>
      <c r="D1435" t="s">
        <v>25</v>
      </c>
      <c r="E1435" t="s">
        <v>13</v>
      </c>
      <c r="F1435">
        <v>1725</v>
      </c>
      <c r="H1435">
        <f t="shared" si="50"/>
        <v>11</v>
      </c>
      <c r="I1435">
        <f t="shared" si="51"/>
        <v>2021</v>
      </c>
    </row>
    <row r="1436" spans="1:9" x14ac:dyDescent="0.3">
      <c r="A1436" s="1">
        <v>44524</v>
      </c>
      <c r="B1436" t="s">
        <v>3</v>
      </c>
      <c r="C1436" t="s">
        <v>89</v>
      </c>
      <c r="D1436" t="s">
        <v>5</v>
      </c>
      <c r="E1436" t="s">
        <v>90</v>
      </c>
      <c r="F1436">
        <v>320</v>
      </c>
      <c r="H1436">
        <f t="shared" si="50"/>
        <v>11</v>
      </c>
      <c r="I1436">
        <f t="shared" si="51"/>
        <v>2021</v>
      </c>
    </row>
    <row r="1437" spans="1:9" x14ac:dyDescent="0.3">
      <c r="A1437" s="1">
        <v>44524</v>
      </c>
      <c r="B1437" t="s">
        <v>3</v>
      </c>
      <c r="C1437" t="s">
        <v>91</v>
      </c>
      <c r="D1437" t="s">
        <v>23</v>
      </c>
      <c r="E1437" t="s">
        <v>92</v>
      </c>
      <c r="F1437">
        <v>480</v>
      </c>
      <c r="H1437">
        <f t="shared" si="50"/>
        <v>11</v>
      </c>
      <c r="I1437">
        <f t="shared" si="51"/>
        <v>2021</v>
      </c>
    </row>
    <row r="1438" spans="1:9" x14ac:dyDescent="0.3">
      <c r="A1438" s="1">
        <v>44525</v>
      </c>
      <c r="B1438" t="s">
        <v>3</v>
      </c>
      <c r="G1438">
        <v>1900</v>
      </c>
      <c r="H1438">
        <f t="shared" si="50"/>
        <v>11</v>
      </c>
      <c r="I1438">
        <f t="shared" si="51"/>
        <v>2021</v>
      </c>
    </row>
    <row r="1439" spans="1:9" x14ac:dyDescent="0.3">
      <c r="A1439" s="1">
        <v>44525</v>
      </c>
      <c r="B1439" t="s">
        <v>3</v>
      </c>
      <c r="C1439" t="s">
        <v>148</v>
      </c>
      <c r="D1439" t="s">
        <v>37</v>
      </c>
      <c r="E1439" t="s">
        <v>182</v>
      </c>
      <c r="F1439">
        <v>1900</v>
      </c>
      <c r="H1439">
        <f t="shared" si="50"/>
        <v>11</v>
      </c>
      <c r="I1439">
        <f t="shared" si="51"/>
        <v>2021</v>
      </c>
    </row>
    <row r="1440" spans="1:9" x14ac:dyDescent="0.3">
      <c r="A1440" s="1">
        <v>44525</v>
      </c>
      <c r="B1440" t="s">
        <v>82</v>
      </c>
      <c r="G1440">
        <v>3300</v>
      </c>
      <c r="H1440">
        <f t="shared" si="50"/>
        <v>11</v>
      </c>
      <c r="I1440">
        <f t="shared" si="51"/>
        <v>2021</v>
      </c>
    </row>
    <row r="1441" spans="1:9" x14ac:dyDescent="0.3">
      <c r="A1441" s="1">
        <v>44525</v>
      </c>
      <c r="B1441" t="s">
        <v>82</v>
      </c>
      <c r="C1441" t="s">
        <v>40</v>
      </c>
      <c r="D1441" t="s">
        <v>37</v>
      </c>
      <c r="E1441" t="s">
        <v>104</v>
      </c>
      <c r="F1441">
        <v>3300</v>
      </c>
      <c r="H1441">
        <f t="shared" si="50"/>
        <v>11</v>
      </c>
      <c r="I1441">
        <f t="shared" si="51"/>
        <v>2021</v>
      </c>
    </row>
    <row r="1442" spans="1:9" x14ac:dyDescent="0.3">
      <c r="A1442" s="1">
        <v>44525</v>
      </c>
      <c r="B1442" t="s">
        <v>3</v>
      </c>
      <c r="G1442">
        <v>5520</v>
      </c>
      <c r="H1442">
        <f t="shared" si="50"/>
        <v>11</v>
      </c>
      <c r="I1442">
        <f t="shared" si="51"/>
        <v>2021</v>
      </c>
    </row>
    <row r="1443" spans="1:9" x14ac:dyDescent="0.3">
      <c r="A1443" s="1">
        <v>44525</v>
      </c>
      <c r="B1443" t="s">
        <v>3</v>
      </c>
      <c r="C1443" t="s">
        <v>324</v>
      </c>
      <c r="D1443" t="s">
        <v>59</v>
      </c>
      <c r="E1443" t="s">
        <v>13</v>
      </c>
      <c r="F1443">
        <v>2760</v>
      </c>
      <c r="H1443">
        <f t="shared" si="50"/>
        <v>11</v>
      </c>
      <c r="I1443">
        <f t="shared" si="51"/>
        <v>2021</v>
      </c>
    </row>
    <row r="1444" spans="1:9" x14ac:dyDescent="0.3">
      <c r="A1444" s="1">
        <v>44525</v>
      </c>
      <c r="B1444" t="s">
        <v>3</v>
      </c>
      <c r="C1444" t="s">
        <v>325</v>
      </c>
      <c r="D1444" t="s">
        <v>59</v>
      </c>
      <c r="E1444" t="s">
        <v>13</v>
      </c>
      <c r="F1444">
        <v>2760</v>
      </c>
      <c r="H1444">
        <f t="shared" si="50"/>
        <v>11</v>
      </c>
      <c r="I1444">
        <f t="shared" si="51"/>
        <v>2021</v>
      </c>
    </row>
    <row r="1445" spans="1:9" x14ac:dyDescent="0.3">
      <c r="A1445" s="1">
        <v>44525</v>
      </c>
      <c r="B1445" t="s">
        <v>234</v>
      </c>
      <c r="G1445">
        <v>14400</v>
      </c>
      <c r="H1445">
        <f t="shared" si="50"/>
        <v>11</v>
      </c>
      <c r="I1445">
        <f t="shared" si="51"/>
        <v>2021</v>
      </c>
    </row>
    <row r="1446" spans="1:9" x14ac:dyDescent="0.3">
      <c r="A1446" s="1">
        <v>44525</v>
      </c>
      <c r="B1446" t="s">
        <v>234</v>
      </c>
      <c r="C1446" t="s">
        <v>40</v>
      </c>
      <c r="D1446" t="s">
        <v>80</v>
      </c>
      <c r="E1446" t="s">
        <v>104</v>
      </c>
      <c r="F1446">
        <v>8250</v>
      </c>
      <c r="H1446">
        <f t="shared" si="50"/>
        <v>11</v>
      </c>
      <c r="I1446">
        <f t="shared" si="51"/>
        <v>2021</v>
      </c>
    </row>
    <row r="1447" spans="1:9" x14ac:dyDescent="0.3">
      <c r="A1447" s="1">
        <v>44525</v>
      </c>
      <c r="B1447" t="s">
        <v>234</v>
      </c>
      <c r="C1447" t="s">
        <v>38</v>
      </c>
      <c r="D1447" t="s">
        <v>37</v>
      </c>
      <c r="E1447" t="s">
        <v>13</v>
      </c>
      <c r="F1447">
        <v>3450</v>
      </c>
      <c r="H1447">
        <f t="shared" si="50"/>
        <v>11</v>
      </c>
      <c r="I1447">
        <f t="shared" si="51"/>
        <v>2021</v>
      </c>
    </row>
    <row r="1448" spans="1:9" x14ac:dyDescent="0.3">
      <c r="A1448" s="1">
        <v>44525</v>
      </c>
      <c r="B1448" t="s">
        <v>234</v>
      </c>
      <c r="C1448" t="s">
        <v>98</v>
      </c>
      <c r="D1448" t="s">
        <v>25</v>
      </c>
      <c r="E1448" t="s">
        <v>99</v>
      </c>
      <c r="F1448">
        <v>2700</v>
      </c>
      <c r="H1448">
        <f t="shared" si="50"/>
        <v>11</v>
      </c>
      <c r="I1448">
        <f t="shared" si="51"/>
        <v>2021</v>
      </c>
    </row>
    <row r="1449" spans="1:9" x14ac:dyDescent="0.3">
      <c r="A1449" s="1">
        <v>44526</v>
      </c>
      <c r="B1449" t="s">
        <v>88</v>
      </c>
      <c r="G1449">
        <v>5230</v>
      </c>
      <c r="H1449">
        <f t="shared" si="50"/>
        <v>11</v>
      </c>
      <c r="I1449">
        <f t="shared" si="51"/>
        <v>2021</v>
      </c>
    </row>
    <row r="1450" spans="1:9" x14ac:dyDescent="0.3">
      <c r="A1450" s="1">
        <v>44526</v>
      </c>
      <c r="B1450" t="s">
        <v>88</v>
      </c>
      <c r="C1450" t="s">
        <v>40</v>
      </c>
      <c r="D1450" t="s">
        <v>37</v>
      </c>
      <c r="E1450" t="s">
        <v>60</v>
      </c>
      <c r="F1450">
        <v>3250</v>
      </c>
      <c r="H1450">
        <f t="shared" si="50"/>
        <v>11</v>
      </c>
      <c r="I1450">
        <f t="shared" si="51"/>
        <v>2021</v>
      </c>
    </row>
    <row r="1451" spans="1:9" x14ac:dyDescent="0.3">
      <c r="A1451" s="1">
        <v>44526</v>
      </c>
      <c r="B1451" t="s">
        <v>88</v>
      </c>
      <c r="C1451" t="s">
        <v>324</v>
      </c>
      <c r="D1451" t="s">
        <v>93</v>
      </c>
      <c r="E1451" t="s">
        <v>118</v>
      </c>
      <c r="F1451">
        <v>1360</v>
      </c>
      <c r="H1451">
        <f t="shared" si="50"/>
        <v>11</v>
      </c>
      <c r="I1451">
        <f t="shared" si="51"/>
        <v>2021</v>
      </c>
    </row>
    <row r="1452" spans="1:9" x14ac:dyDescent="0.3">
      <c r="A1452" s="1">
        <v>44526</v>
      </c>
      <c r="B1452" t="s">
        <v>88</v>
      </c>
      <c r="C1452" t="s">
        <v>171</v>
      </c>
      <c r="D1452" t="s">
        <v>5</v>
      </c>
      <c r="E1452" t="s">
        <v>35</v>
      </c>
      <c r="F1452">
        <v>620</v>
      </c>
      <c r="H1452">
        <f t="shared" si="50"/>
        <v>11</v>
      </c>
      <c r="I1452">
        <f t="shared" si="51"/>
        <v>2021</v>
      </c>
    </row>
    <row r="1453" spans="1:9" x14ac:dyDescent="0.3">
      <c r="A1453" s="1">
        <v>44528</v>
      </c>
      <c r="B1453" t="s">
        <v>50</v>
      </c>
      <c r="G1453">
        <v>590</v>
      </c>
      <c r="H1453">
        <f t="shared" si="50"/>
        <v>11</v>
      </c>
      <c r="I1453">
        <f t="shared" si="51"/>
        <v>2021</v>
      </c>
    </row>
    <row r="1454" spans="1:9" x14ac:dyDescent="0.3">
      <c r="A1454" s="1">
        <v>44528</v>
      </c>
      <c r="B1454" t="s">
        <v>50</v>
      </c>
      <c r="C1454" t="s">
        <v>359</v>
      </c>
      <c r="D1454" t="s">
        <v>5</v>
      </c>
      <c r="E1454" t="s">
        <v>77</v>
      </c>
      <c r="F1454">
        <v>590</v>
      </c>
      <c r="H1454">
        <f t="shared" si="50"/>
        <v>11</v>
      </c>
      <c r="I1454">
        <f t="shared" si="51"/>
        <v>2021</v>
      </c>
    </row>
    <row r="1455" spans="1:9" x14ac:dyDescent="0.3">
      <c r="A1455" s="1">
        <v>44528</v>
      </c>
      <c r="B1455" t="s">
        <v>36</v>
      </c>
      <c r="G1455">
        <v>5900</v>
      </c>
      <c r="H1455">
        <f t="shared" si="50"/>
        <v>11</v>
      </c>
      <c r="I1455">
        <f t="shared" si="51"/>
        <v>2021</v>
      </c>
    </row>
    <row r="1456" spans="1:9" x14ac:dyDescent="0.3">
      <c r="A1456" s="1">
        <v>44528</v>
      </c>
      <c r="B1456" t="s">
        <v>36</v>
      </c>
      <c r="C1456" t="s">
        <v>359</v>
      </c>
      <c r="D1456" t="s">
        <v>37</v>
      </c>
      <c r="E1456" t="s">
        <v>77</v>
      </c>
      <c r="F1456">
        <v>5900</v>
      </c>
      <c r="H1456">
        <f t="shared" si="50"/>
        <v>11</v>
      </c>
      <c r="I1456">
        <f t="shared" si="51"/>
        <v>2021</v>
      </c>
    </row>
    <row r="1457" spans="1:9" x14ac:dyDescent="0.3">
      <c r="A1457" s="1">
        <v>44529</v>
      </c>
      <c r="B1457" t="s">
        <v>45</v>
      </c>
      <c r="G1457">
        <v>4130</v>
      </c>
      <c r="H1457">
        <f t="shared" si="50"/>
        <v>11</v>
      </c>
      <c r="I1457">
        <f t="shared" si="51"/>
        <v>2021</v>
      </c>
    </row>
    <row r="1458" spans="1:9" x14ac:dyDescent="0.3">
      <c r="A1458" s="1">
        <v>44529</v>
      </c>
      <c r="B1458" t="s">
        <v>45</v>
      </c>
      <c r="C1458" t="s">
        <v>359</v>
      </c>
      <c r="D1458" t="s">
        <v>30</v>
      </c>
      <c r="E1458" t="s">
        <v>77</v>
      </c>
      <c r="F1458">
        <v>4130</v>
      </c>
      <c r="H1458">
        <f t="shared" si="50"/>
        <v>11</v>
      </c>
      <c r="I1458">
        <f t="shared" si="51"/>
        <v>2021</v>
      </c>
    </row>
    <row r="1459" spans="1:9" x14ac:dyDescent="0.3">
      <c r="A1459" s="1">
        <v>44529</v>
      </c>
      <c r="B1459" t="s">
        <v>83</v>
      </c>
      <c r="G1459">
        <v>1770</v>
      </c>
      <c r="H1459">
        <f t="shared" si="50"/>
        <v>11</v>
      </c>
      <c r="I1459">
        <f t="shared" si="51"/>
        <v>2021</v>
      </c>
    </row>
    <row r="1460" spans="1:9" x14ac:dyDescent="0.3">
      <c r="A1460" s="1">
        <v>44529</v>
      </c>
      <c r="B1460" t="s">
        <v>83</v>
      </c>
      <c r="C1460" t="s">
        <v>359</v>
      </c>
      <c r="D1460" t="s">
        <v>23</v>
      </c>
      <c r="E1460" t="s">
        <v>77</v>
      </c>
      <c r="F1460">
        <v>1770</v>
      </c>
      <c r="H1460">
        <f t="shared" si="50"/>
        <v>11</v>
      </c>
      <c r="I1460">
        <f t="shared" si="51"/>
        <v>2021</v>
      </c>
    </row>
    <row r="1461" spans="1:9" x14ac:dyDescent="0.3">
      <c r="A1461" s="1">
        <v>44530</v>
      </c>
      <c r="B1461" t="s">
        <v>50</v>
      </c>
      <c r="G1461">
        <v>6490</v>
      </c>
      <c r="H1461">
        <f t="shared" si="50"/>
        <v>11</v>
      </c>
      <c r="I1461">
        <f t="shared" si="51"/>
        <v>2021</v>
      </c>
    </row>
    <row r="1462" spans="1:9" x14ac:dyDescent="0.3">
      <c r="A1462" s="1">
        <v>44530</v>
      </c>
      <c r="B1462" t="s">
        <v>50</v>
      </c>
      <c r="C1462" t="s">
        <v>359</v>
      </c>
      <c r="D1462" t="s">
        <v>66</v>
      </c>
      <c r="E1462" t="s">
        <v>77</v>
      </c>
      <c r="F1462">
        <v>6490</v>
      </c>
      <c r="H1462">
        <f t="shared" si="50"/>
        <v>11</v>
      </c>
      <c r="I1462">
        <f t="shared" si="51"/>
        <v>2021</v>
      </c>
    </row>
    <row r="1463" spans="1:9" x14ac:dyDescent="0.3">
      <c r="A1463" s="1">
        <v>44531</v>
      </c>
      <c r="B1463" t="s">
        <v>234</v>
      </c>
      <c r="G1463">
        <v>23890</v>
      </c>
      <c r="H1463">
        <f t="shared" si="50"/>
        <v>12</v>
      </c>
      <c r="I1463">
        <f t="shared" si="51"/>
        <v>2021</v>
      </c>
    </row>
    <row r="1464" spans="1:9" x14ac:dyDescent="0.3">
      <c r="A1464" s="1">
        <v>44531</v>
      </c>
      <c r="B1464" t="s">
        <v>234</v>
      </c>
      <c r="C1464" t="s">
        <v>40</v>
      </c>
      <c r="D1464" t="s">
        <v>9</v>
      </c>
      <c r="E1464" t="s">
        <v>104</v>
      </c>
      <c r="F1464">
        <v>6600</v>
      </c>
      <c r="H1464">
        <f t="shared" si="50"/>
        <v>12</v>
      </c>
      <c r="I1464">
        <f t="shared" si="51"/>
        <v>2021</v>
      </c>
    </row>
    <row r="1465" spans="1:9" x14ac:dyDescent="0.3">
      <c r="A1465" s="1">
        <v>44531</v>
      </c>
      <c r="B1465" t="s">
        <v>234</v>
      </c>
      <c r="C1465" t="s">
        <v>38</v>
      </c>
      <c r="D1465" t="s">
        <v>25</v>
      </c>
      <c r="E1465" t="s">
        <v>13</v>
      </c>
      <c r="F1465">
        <v>1725</v>
      </c>
      <c r="H1465">
        <f t="shared" si="50"/>
        <v>12</v>
      </c>
      <c r="I1465">
        <f t="shared" si="51"/>
        <v>2021</v>
      </c>
    </row>
    <row r="1466" spans="1:9" x14ac:dyDescent="0.3">
      <c r="A1466" s="1">
        <v>44531</v>
      </c>
      <c r="B1466" t="s">
        <v>234</v>
      </c>
      <c r="C1466" t="s">
        <v>108</v>
      </c>
      <c r="D1466" t="s">
        <v>25</v>
      </c>
      <c r="E1466" t="s">
        <v>164</v>
      </c>
      <c r="F1466">
        <v>2725</v>
      </c>
      <c r="H1466">
        <f t="shared" si="50"/>
        <v>12</v>
      </c>
      <c r="I1466">
        <f t="shared" si="51"/>
        <v>2021</v>
      </c>
    </row>
    <row r="1467" spans="1:9" x14ac:dyDescent="0.3">
      <c r="A1467" s="1">
        <v>44531</v>
      </c>
      <c r="B1467" t="s">
        <v>234</v>
      </c>
      <c r="C1467" t="s">
        <v>98</v>
      </c>
      <c r="D1467" t="s">
        <v>25</v>
      </c>
      <c r="E1467" t="s">
        <v>99</v>
      </c>
      <c r="F1467">
        <v>2700</v>
      </c>
      <c r="H1467">
        <f t="shared" si="50"/>
        <v>12</v>
      </c>
      <c r="I1467">
        <f t="shared" si="51"/>
        <v>2021</v>
      </c>
    </row>
    <row r="1468" spans="1:9" x14ac:dyDescent="0.3">
      <c r="A1468" s="1">
        <v>44531</v>
      </c>
      <c r="B1468" t="s">
        <v>234</v>
      </c>
      <c r="C1468" t="s">
        <v>324</v>
      </c>
      <c r="D1468" t="s">
        <v>59</v>
      </c>
      <c r="E1468" t="s">
        <v>13</v>
      </c>
      <c r="F1468">
        <v>2760</v>
      </c>
      <c r="H1468">
        <f t="shared" si="50"/>
        <v>12</v>
      </c>
      <c r="I1468">
        <f t="shared" si="51"/>
        <v>2021</v>
      </c>
    </row>
    <row r="1469" spans="1:9" x14ac:dyDescent="0.3">
      <c r="A1469" s="1">
        <v>44531</v>
      </c>
      <c r="B1469" t="s">
        <v>234</v>
      </c>
      <c r="C1469" t="s">
        <v>364</v>
      </c>
      <c r="D1469" t="s">
        <v>93</v>
      </c>
      <c r="E1469" t="s">
        <v>13</v>
      </c>
      <c r="F1469">
        <v>1380</v>
      </c>
      <c r="H1469">
        <f t="shared" si="50"/>
        <v>12</v>
      </c>
      <c r="I1469">
        <f t="shared" si="51"/>
        <v>2021</v>
      </c>
    </row>
    <row r="1470" spans="1:9" x14ac:dyDescent="0.3">
      <c r="A1470" s="1">
        <v>44531</v>
      </c>
      <c r="B1470" t="s">
        <v>234</v>
      </c>
      <c r="C1470" t="s">
        <v>359</v>
      </c>
      <c r="D1470" t="s">
        <v>37</v>
      </c>
      <c r="E1470" t="s">
        <v>160</v>
      </c>
      <c r="F1470">
        <v>6000</v>
      </c>
      <c r="H1470">
        <f t="shared" si="50"/>
        <v>12</v>
      </c>
      <c r="I1470">
        <f t="shared" si="51"/>
        <v>2021</v>
      </c>
    </row>
    <row r="1471" spans="1:9" x14ac:dyDescent="0.3">
      <c r="A1471" s="1">
        <v>44533</v>
      </c>
      <c r="B1471" t="s">
        <v>3</v>
      </c>
      <c r="G1471">
        <v>6660</v>
      </c>
      <c r="H1471">
        <f t="shared" ref="H1471:H1528" si="52">MONTH(A1471)</f>
        <v>12</v>
      </c>
      <c r="I1471">
        <f t="shared" ref="I1471:I1528" si="53">YEAR(A1471)</f>
        <v>2021</v>
      </c>
    </row>
    <row r="1472" spans="1:9" x14ac:dyDescent="0.3">
      <c r="A1472" s="1">
        <v>44533</v>
      </c>
      <c r="B1472" t="s">
        <v>3</v>
      </c>
      <c r="C1472" t="s">
        <v>98</v>
      </c>
      <c r="D1472" t="s">
        <v>25</v>
      </c>
      <c r="E1472" t="s">
        <v>99</v>
      </c>
      <c r="F1472">
        <v>2700</v>
      </c>
      <c r="H1472">
        <f t="shared" si="52"/>
        <v>12</v>
      </c>
      <c r="I1472">
        <f t="shared" si="53"/>
        <v>2021</v>
      </c>
    </row>
    <row r="1473" spans="1:9" x14ac:dyDescent="0.3">
      <c r="A1473" s="1">
        <v>44533</v>
      </c>
      <c r="B1473" t="s">
        <v>3</v>
      </c>
      <c r="C1473" t="s">
        <v>359</v>
      </c>
      <c r="D1473" t="s">
        <v>5</v>
      </c>
      <c r="E1473" t="s">
        <v>160</v>
      </c>
      <c r="F1473">
        <v>600</v>
      </c>
      <c r="H1473">
        <f t="shared" si="52"/>
        <v>12</v>
      </c>
      <c r="I1473">
        <f t="shared" si="53"/>
        <v>2021</v>
      </c>
    </row>
    <row r="1474" spans="1:9" x14ac:dyDescent="0.3">
      <c r="A1474" s="1">
        <v>44533</v>
      </c>
      <c r="B1474" t="s">
        <v>3</v>
      </c>
      <c r="C1474" t="s">
        <v>40</v>
      </c>
      <c r="D1474" t="s">
        <v>12</v>
      </c>
      <c r="E1474" t="s">
        <v>104</v>
      </c>
      <c r="F1474">
        <v>660</v>
      </c>
      <c r="H1474">
        <f t="shared" si="52"/>
        <v>12</v>
      </c>
      <c r="I1474">
        <f t="shared" si="53"/>
        <v>2021</v>
      </c>
    </row>
    <row r="1475" spans="1:9" x14ac:dyDescent="0.3">
      <c r="A1475" s="1">
        <v>44533</v>
      </c>
      <c r="B1475" t="s">
        <v>3</v>
      </c>
      <c r="C1475" t="s">
        <v>98</v>
      </c>
      <c r="D1475" t="s">
        <v>25</v>
      </c>
      <c r="E1475" t="s">
        <v>99</v>
      </c>
      <c r="F1475">
        <v>2700</v>
      </c>
      <c r="H1475">
        <f t="shared" si="52"/>
        <v>12</v>
      </c>
      <c r="I1475">
        <f t="shared" si="53"/>
        <v>2021</v>
      </c>
    </row>
    <row r="1476" spans="1:9" x14ac:dyDescent="0.3">
      <c r="A1476" s="1">
        <v>44533</v>
      </c>
      <c r="B1476" t="s">
        <v>64</v>
      </c>
      <c r="G1476">
        <v>5460</v>
      </c>
      <c r="H1476">
        <f t="shared" si="52"/>
        <v>12</v>
      </c>
      <c r="I1476">
        <f t="shared" si="53"/>
        <v>2021</v>
      </c>
    </row>
    <row r="1477" spans="1:9" x14ac:dyDescent="0.3">
      <c r="A1477" s="1">
        <v>44533</v>
      </c>
      <c r="B1477" t="s">
        <v>64</v>
      </c>
      <c r="C1477" t="s">
        <v>98</v>
      </c>
      <c r="D1477" t="s">
        <v>25</v>
      </c>
      <c r="E1477" t="s">
        <v>99</v>
      </c>
      <c r="F1477">
        <v>2700</v>
      </c>
      <c r="H1477">
        <f t="shared" si="52"/>
        <v>12</v>
      </c>
      <c r="I1477">
        <f t="shared" si="53"/>
        <v>2021</v>
      </c>
    </row>
    <row r="1478" spans="1:9" x14ac:dyDescent="0.3">
      <c r="A1478" s="1">
        <v>44533</v>
      </c>
      <c r="B1478" t="s">
        <v>64</v>
      </c>
      <c r="C1478" t="s">
        <v>324</v>
      </c>
      <c r="D1478" t="s">
        <v>93</v>
      </c>
      <c r="E1478" t="s">
        <v>13</v>
      </c>
      <c r="F1478">
        <v>1380</v>
      </c>
      <c r="H1478">
        <f t="shared" si="52"/>
        <v>12</v>
      </c>
      <c r="I1478">
        <f t="shared" si="53"/>
        <v>2021</v>
      </c>
    </row>
    <row r="1479" spans="1:9" x14ac:dyDescent="0.3">
      <c r="A1479" s="1">
        <v>44533</v>
      </c>
      <c r="B1479" t="s">
        <v>64</v>
      </c>
      <c r="C1479" t="s">
        <v>364</v>
      </c>
      <c r="D1479" t="s">
        <v>93</v>
      </c>
      <c r="E1479" t="s">
        <v>13</v>
      </c>
      <c r="F1479">
        <v>1380</v>
      </c>
      <c r="H1479">
        <f t="shared" si="52"/>
        <v>12</v>
      </c>
      <c r="I1479">
        <f t="shared" si="53"/>
        <v>2021</v>
      </c>
    </row>
    <row r="1480" spans="1:9" x14ac:dyDescent="0.3">
      <c r="A1480" s="1">
        <v>44533</v>
      </c>
      <c r="B1480" t="s">
        <v>96</v>
      </c>
      <c r="G1480">
        <v>1770</v>
      </c>
      <c r="H1480">
        <f t="shared" si="52"/>
        <v>12</v>
      </c>
      <c r="I1480">
        <f t="shared" si="53"/>
        <v>2021</v>
      </c>
    </row>
    <row r="1481" spans="1:9" x14ac:dyDescent="0.3">
      <c r="A1481" s="1">
        <v>44533</v>
      </c>
      <c r="B1481" t="s">
        <v>96</v>
      </c>
      <c r="C1481" t="s">
        <v>359</v>
      </c>
      <c r="D1481" t="s">
        <v>23</v>
      </c>
      <c r="E1481" t="s">
        <v>77</v>
      </c>
      <c r="F1481">
        <v>1770</v>
      </c>
      <c r="H1481">
        <f t="shared" si="52"/>
        <v>12</v>
      </c>
      <c r="I1481">
        <f t="shared" si="53"/>
        <v>2021</v>
      </c>
    </row>
    <row r="1482" spans="1:9" x14ac:dyDescent="0.3">
      <c r="A1482" s="1">
        <v>44533</v>
      </c>
      <c r="B1482" t="s">
        <v>50</v>
      </c>
      <c r="G1482">
        <v>8850</v>
      </c>
      <c r="H1482">
        <f t="shared" si="52"/>
        <v>12</v>
      </c>
      <c r="I1482">
        <f t="shared" si="53"/>
        <v>2021</v>
      </c>
    </row>
    <row r="1483" spans="1:9" x14ac:dyDescent="0.3">
      <c r="A1483" s="1">
        <v>44533</v>
      </c>
      <c r="B1483" t="s">
        <v>50</v>
      </c>
      <c r="C1483" t="s">
        <v>359</v>
      </c>
      <c r="D1483" t="s">
        <v>61</v>
      </c>
      <c r="E1483" t="s">
        <v>77</v>
      </c>
      <c r="F1483">
        <v>8850</v>
      </c>
      <c r="H1483">
        <f t="shared" si="52"/>
        <v>12</v>
      </c>
      <c r="I1483">
        <f t="shared" si="53"/>
        <v>2021</v>
      </c>
    </row>
    <row r="1484" spans="1:9" x14ac:dyDescent="0.3">
      <c r="A1484" s="1">
        <v>44533</v>
      </c>
      <c r="B1484" t="s">
        <v>8</v>
      </c>
      <c r="G1484">
        <v>17700</v>
      </c>
      <c r="H1484">
        <f t="shared" si="52"/>
        <v>12</v>
      </c>
      <c r="I1484">
        <f t="shared" si="53"/>
        <v>2021</v>
      </c>
    </row>
    <row r="1485" spans="1:9" x14ac:dyDescent="0.3">
      <c r="A1485" s="1">
        <v>44533</v>
      </c>
      <c r="B1485" t="s">
        <v>8</v>
      </c>
      <c r="C1485" t="s">
        <v>359</v>
      </c>
      <c r="D1485" t="s">
        <v>39</v>
      </c>
      <c r="E1485" t="s">
        <v>77</v>
      </c>
      <c r="F1485">
        <v>17700</v>
      </c>
      <c r="H1485">
        <f t="shared" si="52"/>
        <v>12</v>
      </c>
      <c r="I1485">
        <f t="shared" si="53"/>
        <v>2021</v>
      </c>
    </row>
    <row r="1486" spans="1:9" x14ac:dyDescent="0.3">
      <c r="A1486" s="1">
        <v>44533</v>
      </c>
      <c r="B1486" t="s">
        <v>45</v>
      </c>
      <c r="G1486">
        <v>2950</v>
      </c>
      <c r="H1486">
        <f t="shared" si="52"/>
        <v>12</v>
      </c>
      <c r="I1486">
        <f t="shared" si="53"/>
        <v>2021</v>
      </c>
    </row>
    <row r="1487" spans="1:9" x14ac:dyDescent="0.3">
      <c r="A1487" s="1">
        <v>44533</v>
      </c>
      <c r="B1487" t="s">
        <v>45</v>
      </c>
      <c r="C1487" t="s">
        <v>359</v>
      </c>
      <c r="D1487" t="s">
        <v>25</v>
      </c>
      <c r="E1487" t="s">
        <v>77</v>
      </c>
      <c r="F1487">
        <v>2950</v>
      </c>
      <c r="H1487">
        <f t="shared" si="52"/>
        <v>12</v>
      </c>
      <c r="I1487">
        <f t="shared" si="53"/>
        <v>2021</v>
      </c>
    </row>
    <row r="1488" spans="1:9" x14ac:dyDescent="0.3">
      <c r="A1488" s="1">
        <v>44533</v>
      </c>
      <c r="B1488" t="s">
        <v>51</v>
      </c>
      <c r="G1488">
        <v>5900</v>
      </c>
      <c r="H1488">
        <f t="shared" si="52"/>
        <v>12</v>
      </c>
      <c r="I1488">
        <f t="shared" si="53"/>
        <v>2021</v>
      </c>
    </row>
    <row r="1489" spans="1:9" x14ac:dyDescent="0.3">
      <c r="A1489" s="1">
        <v>44533</v>
      </c>
      <c r="B1489" t="s">
        <v>51</v>
      </c>
      <c r="C1489" t="s">
        <v>359</v>
      </c>
      <c r="D1489" t="s">
        <v>37</v>
      </c>
      <c r="E1489" t="s">
        <v>77</v>
      </c>
      <c r="F1489">
        <v>5900</v>
      </c>
      <c r="H1489">
        <f t="shared" si="52"/>
        <v>12</v>
      </c>
      <c r="I1489">
        <f t="shared" si="53"/>
        <v>2021</v>
      </c>
    </row>
    <row r="1490" spans="1:9" x14ac:dyDescent="0.3">
      <c r="A1490" s="1">
        <v>44533</v>
      </c>
      <c r="B1490" t="s">
        <v>46</v>
      </c>
      <c r="G1490">
        <v>1910</v>
      </c>
      <c r="H1490">
        <f t="shared" si="52"/>
        <v>12</v>
      </c>
      <c r="I1490">
        <f t="shared" si="53"/>
        <v>2021</v>
      </c>
    </row>
    <row r="1491" spans="1:9" x14ac:dyDescent="0.3">
      <c r="A1491" s="1">
        <v>44533</v>
      </c>
      <c r="B1491" t="s">
        <v>46</v>
      </c>
      <c r="C1491" t="s">
        <v>128</v>
      </c>
      <c r="D1491" t="s">
        <v>5</v>
      </c>
      <c r="E1491" t="s">
        <v>77</v>
      </c>
      <c r="F1491">
        <v>590</v>
      </c>
      <c r="H1491">
        <f t="shared" si="52"/>
        <v>12</v>
      </c>
      <c r="I1491">
        <f t="shared" si="53"/>
        <v>2021</v>
      </c>
    </row>
    <row r="1492" spans="1:9" x14ac:dyDescent="0.3">
      <c r="A1492" s="1">
        <v>44533</v>
      </c>
      <c r="B1492" t="s">
        <v>46</v>
      </c>
      <c r="C1492" t="s">
        <v>365</v>
      </c>
      <c r="D1492" t="s">
        <v>12</v>
      </c>
      <c r="E1492" t="s">
        <v>161</v>
      </c>
      <c r="F1492">
        <v>1320</v>
      </c>
      <c r="H1492">
        <f t="shared" si="52"/>
        <v>12</v>
      </c>
      <c r="I1492">
        <f t="shared" si="53"/>
        <v>2021</v>
      </c>
    </row>
    <row r="1493" spans="1:9" x14ac:dyDescent="0.3">
      <c r="A1493" s="1">
        <v>44539</v>
      </c>
      <c r="B1493" t="s">
        <v>8</v>
      </c>
      <c r="G1493">
        <v>2760</v>
      </c>
      <c r="H1493">
        <f t="shared" si="52"/>
        <v>12</v>
      </c>
      <c r="I1493">
        <f t="shared" si="53"/>
        <v>2021</v>
      </c>
    </row>
    <row r="1494" spans="1:9" x14ac:dyDescent="0.3">
      <c r="A1494" s="1">
        <v>44539</v>
      </c>
      <c r="B1494" t="s">
        <v>8</v>
      </c>
      <c r="C1494" t="s">
        <v>364</v>
      </c>
      <c r="D1494" t="s">
        <v>93</v>
      </c>
      <c r="E1494" t="s">
        <v>13</v>
      </c>
      <c r="F1494">
        <v>1380</v>
      </c>
      <c r="H1494">
        <f t="shared" si="52"/>
        <v>12</v>
      </c>
      <c r="I1494">
        <f t="shared" si="53"/>
        <v>2021</v>
      </c>
    </row>
    <row r="1495" spans="1:9" x14ac:dyDescent="0.3">
      <c r="A1495" s="1">
        <v>44539</v>
      </c>
      <c r="B1495" t="s">
        <v>8</v>
      </c>
      <c r="C1495" t="s">
        <v>325</v>
      </c>
      <c r="D1495" t="s">
        <v>93</v>
      </c>
      <c r="E1495" t="s">
        <v>13</v>
      </c>
      <c r="F1495">
        <v>1380</v>
      </c>
      <c r="H1495">
        <f t="shared" si="52"/>
        <v>12</v>
      </c>
      <c r="I1495">
        <f t="shared" si="53"/>
        <v>2021</v>
      </c>
    </row>
    <row r="1496" spans="1:9" x14ac:dyDescent="0.3">
      <c r="A1496" s="1">
        <v>44540</v>
      </c>
      <c r="B1496" t="s">
        <v>3</v>
      </c>
      <c r="G1496">
        <v>1650</v>
      </c>
      <c r="H1496">
        <f t="shared" si="52"/>
        <v>12</v>
      </c>
      <c r="I1496">
        <f t="shared" si="53"/>
        <v>2021</v>
      </c>
    </row>
    <row r="1497" spans="1:9" x14ac:dyDescent="0.3">
      <c r="A1497" s="1">
        <v>44540</v>
      </c>
      <c r="B1497" t="s">
        <v>3</v>
      </c>
      <c r="C1497" t="s">
        <v>40</v>
      </c>
      <c r="D1497" t="s">
        <v>25</v>
      </c>
      <c r="E1497" t="s">
        <v>104</v>
      </c>
      <c r="F1497">
        <v>1650</v>
      </c>
      <c r="H1497">
        <f t="shared" si="52"/>
        <v>12</v>
      </c>
      <c r="I1497">
        <f t="shared" si="53"/>
        <v>2021</v>
      </c>
    </row>
    <row r="1498" spans="1:9" x14ac:dyDescent="0.3">
      <c r="A1498" s="1">
        <v>44541</v>
      </c>
      <c r="B1498" t="s">
        <v>3</v>
      </c>
      <c r="G1498">
        <v>2950</v>
      </c>
      <c r="H1498">
        <f t="shared" si="52"/>
        <v>12</v>
      </c>
      <c r="I1498">
        <f t="shared" si="53"/>
        <v>2021</v>
      </c>
    </row>
    <row r="1499" spans="1:9" x14ac:dyDescent="0.3">
      <c r="A1499" s="1">
        <v>44541</v>
      </c>
      <c r="B1499" t="s">
        <v>3</v>
      </c>
      <c r="C1499" t="s">
        <v>359</v>
      </c>
      <c r="D1499" t="s">
        <v>25</v>
      </c>
      <c r="E1499" t="s">
        <v>77</v>
      </c>
      <c r="F1499">
        <v>2950</v>
      </c>
      <c r="H1499">
        <f t="shared" si="52"/>
        <v>12</v>
      </c>
      <c r="I1499">
        <f t="shared" si="53"/>
        <v>2021</v>
      </c>
    </row>
    <row r="1500" spans="1:9" x14ac:dyDescent="0.3">
      <c r="A1500" s="1">
        <v>44542</v>
      </c>
      <c r="B1500" t="s">
        <v>75</v>
      </c>
      <c r="G1500">
        <v>7080</v>
      </c>
      <c r="H1500">
        <f t="shared" si="52"/>
        <v>12</v>
      </c>
      <c r="I1500">
        <f t="shared" si="53"/>
        <v>2021</v>
      </c>
    </row>
    <row r="1501" spans="1:9" x14ac:dyDescent="0.3">
      <c r="A1501" s="1">
        <v>44542</v>
      </c>
      <c r="B1501" t="s">
        <v>75</v>
      </c>
      <c r="C1501" t="s">
        <v>359</v>
      </c>
      <c r="D1501" t="s">
        <v>16</v>
      </c>
      <c r="E1501" t="s">
        <v>77</v>
      </c>
      <c r="F1501">
        <v>7080</v>
      </c>
      <c r="H1501">
        <f t="shared" si="52"/>
        <v>12</v>
      </c>
      <c r="I1501">
        <f t="shared" si="53"/>
        <v>2021</v>
      </c>
    </row>
    <row r="1502" spans="1:9" x14ac:dyDescent="0.3">
      <c r="A1502" s="1">
        <v>44542</v>
      </c>
      <c r="B1502" t="s">
        <v>50</v>
      </c>
      <c r="G1502">
        <v>5900</v>
      </c>
      <c r="H1502">
        <f t="shared" si="52"/>
        <v>12</v>
      </c>
      <c r="I1502">
        <f t="shared" si="53"/>
        <v>2021</v>
      </c>
    </row>
    <row r="1503" spans="1:9" x14ac:dyDescent="0.3">
      <c r="A1503" s="1">
        <v>44542</v>
      </c>
      <c r="B1503" t="s">
        <v>50</v>
      </c>
      <c r="C1503" t="s">
        <v>359</v>
      </c>
      <c r="D1503" t="s">
        <v>37</v>
      </c>
      <c r="E1503" t="s">
        <v>77</v>
      </c>
      <c r="F1503">
        <v>5900</v>
      </c>
      <c r="H1503">
        <f t="shared" si="52"/>
        <v>12</v>
      </c>
      <c r="I1503">
        <f t="shared" si="53"/>
        <v>2021</v>
      </c>
    </row>
    <row r="1504" spans="1:9" x14ac:dyDescent="0.3">
      <c r="A1504" s="1">
        <v>44542</v>
      </c>
      <c r="B1504" t="s">
        <v>36</v>
      </c>
      <c r="G1504">
        <v>5900</v>
      </c>
      <c r="H1504">
        <f t="shared" si="52"/>
        <v>12</v>
      </c>
      <c r="I1504">
        <f t="shared" si="53"/>
        <v>2021</v>
      </c>
    </row>
    <row r="1505" spans="1:9" x14ac:dyDescent="0.3">
      <c r="A1505" s="1">
        <v>44542</v>
      </c>
      <c r="B1505" t="s">
        <v>36</v>
      </c>
      <c r="C1505" t="s">
        <v>194</v>
      </c>
      <c r="D1505">
        <v>455</v>
      </c>
      <c r="F1505">
        <v>5900</v>
      </c>
      <c r="H1505">
        <f t="shared" si="52"/>
        <v>12</v>
      </c>
      <c r="I1505">
        <f t="shared" si="53"/>
        <v>2021</v>
      </c>
    </row>
    <row r="1506" spans="1:9" x14ac:dyDescent="0.3">
      <c r="A1506" s="1">
        <v>44542</v>
      </c>
      <c r="B1506" t="s">
        <v>36</v>
      </c>
      <c r="C1506" t="s">
        <v>359</v>
      </c>
      <c r="D1506" t="s">
        <v>37</v>
      </c>
      <c r="E1506" t="s">
        <v>77</v>
      </c>
      <c r="F1506">
        <v>5900</v>
      </c>
      <c r="H1506">
        <f t="shared" si="52"/>
        <v>12</v>
      </c>
      <c r="I1506">
        <f t="shared" si="53"/>
        <v>2021</v>
      </c>
    </row>
    <row r="1507" spans="1:9" x14ac:dyDescent="0.3">
      <c r="A1507" s="1">
        <v>44542</v>
      </c>
      <c r="B1507" t="s">
        <v>45</v>
      </c>
      <c r="G1507">
        <v>8850</v>
      </c>
      <c r="H1507">
        <f t="shared" si="52"/>
        <v>12</v>
      </c>
      <c r="I1507">
        <f t="shared" si="53"/>
        <v>2021</v>
      </c>
    </row>
    <row r="1508" spans="1:9" x14ac:dyDescent="0.3">
      <c r="A1508" s="1">
        <v>44542</v>
      </c>
      <c r="B1508" t="s">
        <v>45</v>
      </c>
      <c r="C1508" t="s">
        <v>359</v>
      </c>
      <c r="D1508" t="s">
        <v>61</v>
      </c>
      <c r="E1508" t="s">
        <v>77</v>
      </c>
      <c r="F1508">
        <v>8850</v>
      </c>
      <c r="H1508">
        <f t="shared" si="52"/>
        <v>12</v>
      </c>
      <c r="I1508">
        <f t="shared" si="53"/>
        <v>2021</v>
      </c>
    </row>
    <row r="1509" spans="1:9" x14ac:dyDescent="0.3">
      <c r="A1509" s="1">
        <v>44543</v>
      </c>
      <c r="B1509" t="s">
        <v>234</v>
      </c>
      <c r="G1509">
        <v>22105</v>
      </c>
      <c r="H1509">
        <f t="shared" si="52"/>
        <v>12</v>
      </c>
      <c r="I1509">
        <f t="shared" si="53"/>
        <v>2021</v>
      </c>
    </row>
    <row r="1510" spans="1:9" x14ac:dyDescent="0.3">
      <c r="A1510" s="1">
        <v>44543</v>
      </c>
      <c r="B1510" t="s">
        <v>234</v>
      </c>
      <c r="C1510" t="s">
        <v>40</v>
      </c>
      <c r="D1510" t="s">
        <v>9</v>
      </c>
      <c r="E1510" t="s">
        <v>104</v>
      </c>
      <c r="F1510">
        <v>6600</v>
      </c>
      <c r="H1510">
        <f t="shared" si="52"/>
        <v>12</v>
      </c>
      <c r="I1510">
        <f t="shared" si="53"/>
        <v>2021</v>
      </c>
    </row>
    <row r="1511" spans="1:9" x14ac:dyDescent="0.3">
      <c r="A1511" s="1">
        <v>44543</v>
      </c>
      <c r="B1511" t="s">
        <v>234</v>
      </c>
      <c r="C1511" t="s">
        <v>94</v>
      </c>
      <c r="D1511" t="s">
        <v>244</v>
      </c>
      <c r="E1511" t="s">
        <v>186</v>
      </c>
      <c r="F1511">
        <v>5700</v>
      </c>
      <c r="H1511">
        <f t="shared" si="52"/>
        <v>12</v>
      </c>
      <c r="I1511">
        <f t="shared" si="53"/>
        <v>2021</v>
      </c>
    </row>
    <row r="1512" spans="1:9" x14ac:dyDescent="0.3">
      <c r="A1512" s="1">
        <v>44543</v>
      </c>
      <c r="B1512" t="s">
        <v>234</v>
      </c>
      <c r="C1512" t="s">
        <v>98</v>
      </c>
      <c r="D1512" t="s">
        <v>59</v>
      </c>
      <c r="E1512" t="s">
        <v>99</v>
      </c>
      <c r="F1512">
        <v>4320</v>
      </c>
      <c r="H1512">
        <f t="shared" si="52"/>
        <v>12</v>
      </c>
      <c r="I1512">
        <f t="shared" si="53"/>
        <v>2021</v>
      </c>
    </row>
    <row r="1513" spans="1:9" x14ac:dyDescent="0.3">
      <c r="A1513" s="1">
        <v>44543</v>
      </c>
      <c r="B1513" t="s">
        <v>234</v>
      </c>
      <c r="C1513" t="s">
        <v>364</v>
      </c>
      <c r="D1513" t="s">
        <v>93</v>
      </c>
      <c r="E1513" t="s">
        <v>13</v>
      </c>
      <c r="F1513">
        <v>1380</v>
      </c>
      <c r="H1513">
        <f t="shared" si="52"/>
        <v>12</v>
      </c>
      <c r="I1513">
        <f t="shared" si="53"/>
        <v>2021</v>
      </c>
    </row>
    <row r="1514" spans="1:9" x14ac:dyDescent="0.3">
      <c r="A1514" s="1">
        <v>44543</v>
      </c>
      <c r="B1514" t="s">
        <v>234</v>
      </c>
      <c r="C1514" t="s">
        <v>325</v>
      </c>
      <c r="D1514" t="s">
        <v>25</v>
      </c>
      <c r="E1514" t="s">
        <v>13</v>
      </c>
      <c r="F1514">
        <v>1725</v>
      </c>
      <c r="H1514">
        <f t="shared" si="52"/>
        <v>12</v>
      </c>
      <c r="I1514">
        <f t="shared" si="53"/>
        <v>2021</v>
      </c>
    </row>
    <row r="1515" spans="1:9" x14ac:dyDescent="0.3">
      <c r="A1515" s="1">
        <v>44543</v>
      </c>
      <c r="B1515" t="s">
        <v>234</v>
      </c>
      <c r="C1515" t="s">
        <v>359</v>
      </c>
      <c r="D1515" t="s">
        <v>93</v>
      </c>
      <c r="E1515" t="s">
        <v>172</v>
      </c>
      <c r="F1515">
        <v>2380</v>
      </c>
      <c r="H1515">
        <f t="shared" si="52"/>
        <v>12</v>
      </c>
      <c r="I1515">
        <f t="shared" si="53"/>
        <v>2021</v>
      </c>
    </row>
    <row r="1516" spans="1:9" x14ac:dyDescent="0.3">
      <c r="A1516" s="1">
        <v>44543</v>
      </c>
      <c r="B1516" t="s">
        <v>85</v>
      </c>
      <c r="G1516">
        <v>5450</v>
      </c>
      <c r="H1516">
        <f t="shared" si="52"/>
        <v>12</v>
      </c>
      <c r="I1516">
        <f t="shared" si="53"/>
        <v>2021</v>
      </c>
    </row>
    <row r="1517" spans="1:9" x14ac:dyDescent="0.3">
      <c r="A1517" s="1">
        <v>44543</v>
      </c>
      <c r="B1517" t="s">
        <v>85</v>
      </c>
      <c r="C1517" t="s">
        <v>33</v>
      </c>
      <c r="D1517" t="s">
        <v>37</v>
      </c>
      <c r="E1517" t="s">
        <v>164</v>
      </c>
      <c r="F1517">
        <v>5450</v>
      </c>
      <c r="H1517">
        <f t="shared" si="52"/>
        <v>12</v>
      </c>
      <c r="I1517">
        <f t="shared" si="53"/>
        <v>2021</v>
      </c>
    </row>
    <row r="1518" spans="1:9" x14ac:dyDescent="0.3">
      <c r="A1518" s="1">
        <v>44545</v>
      </c>
      <c r="B1518" t="s">
        <v>360</v>
      </c>
      <c r="G1518">
        <v>3090</v>
      </c>
      <c r="H1518">
        <f t="shared" si="52"/>
        <v>12</v>
      </c>
      <c r="I1518">
        <f t="shared" si="53"/>
        <v>2021</v>
      </c>
    </row>
    <row r="1519" spans="1:9" x14ac:dyDescent="0.3">
      <c r="A1519" s="1">
        <v>44545</v>
      </c>
      <c r="B1519" t="s">
        <v>360</v>
      </c>
      <c r="C1519" t="s">
        <v>338</v>
      </c>
      <c r="D1519" t="s">
        <v>18</v>
      </c>
      <c r="E1519" t="s">
        <v>81</v>
      </c>
      <c r="F1519">
        <v>3090</v>
      </c>
      <c r="H1519">
        <f t="shared" si="52"/>
        <v>12</v>
      </c>
      <c r="I1519">
        <f t="shared" si="53"/>
        <v>2021</v>
      </c>
    </row>
    <row r="1520" spans="1:9" x14ac:dyDescent="0.3">
      <c r="A1520" s="1">
        <v>44547</v>
      </c>
      <c r="B1520" t="s">
        <v>337</v>
      </c>
      <c r="G1520">
        <v>6120</v>
      </c>
      <c r="H1520">
        <f t="shared" si="52"/>
        <v>12</v>
      </c>
      <c r="I1520">
        <f t="shared" si="53"/>
        <v>2021</v>
      </c>
    </row>
    <row r="1521" spans="1:9" x14ac:dyDescent="0.3">
      <c r="A1521" s="1">
        <v>44547</v>
      </c>
      <c r="B1521" t="s">
        <v>337</v>
      </c>
      <c r="C1521" t="s">
        <v>338</v>
      </c>
      <c r="D1521" t="s">
        <v>16</v>
      </c>
      <c r="E1521" t="s">
        <v>7</v>
      </c>
      <c r="F1521">
        <v>6120</v>
      </c>
      <c r="H1521">
        <f t="shared" si="52"/>
        <v>12</v>
      </c>
      <c r="I1521">
        <f t="shared" si="53"/>
        <v>2021</v>
      </c>
    </row>
    <row r="1522" spans="1:9" x14ac:dyDescent="0.3">
      <c r="A1522" s="1">
        <v>44547</v>
      </c>
      <c r="B1522" t="s">
        <v>3</v>
      </c>
      <c r="G1522">
        <v>11210</v>
      </c>
      <c r="H1522">
        <f t="shared" si="52"/>
        <v>12</v>
      </c>
      <c r="I1522">
        <f t="shared" si="53"/>
        <v>2021</v>
      </c>
    </row>
    <row r="1523" spans="1:9" x14ac:dyDescent="0.3">
      <c r="A1523" s="1">
        <v>44547</v>
      </c>
      <c r="B1523" t="s">
        <v>3</v>
      </c>
      <c r="C1523" t="s">
        <v>33</v>
      </c>
      <c r="D1523" t="s">
        <v>23</v>
      </c>
      <c r="E1523" t="s">
        <v>164</v>
      </c>
      <c r="F1523">
        <v>1635</v>
      </c>
      <c r="H1523">
        <f t="shared" si="52"/>
        <v>12</v>
      </c>
      <c r="I1523">
        <f t="shared" si="53"/>
        <v>2021</v>
      </c>
    </row>
    <row r="1524" spans="1:9" x14ac:dyDescent="0.3">
      <c r="A1524" s="1">
        <v>44547</v>
      </c>
      <c r="B1524" t="s">
        <v>3</v>
      </c>
      <c r="C1524" t="s">
        <v>22</v>
      </c>
      <c r="D1524" t="s">
        <v>18</v>
      </c>
      <c r="E1524" t="s">
        <v>302</v>
      </c>
      <c r="F1524">
        <v>1665</v>
      </c>
      <c r="H1524">
        <f t="shared" si="52"/>
        <v>12</v>
      </c>
      <c r="I1524">
        <f t="shared" si="53"/>
        <v>2021</v>
      </c>
    </row>
    <row r="1525" spans="1:9" x14ac:dyDescent="0.3">
      <c r="A1525" s="1">
        <v>44547</v>
      </c>
      <c r="B1525" t="s">
        <v>3</v>
      </c>
      <c r="C1525" t="s">
        <v>98</v>
      </c>
      <c r="D1525" t="s">
        <v>139</v>
      </c>
      <c r="E1525" t="s">
        <v>99</v>
      </c>
      <c r="F1525">
        <v>7560</v>
      </c>
      <c r="H1525">
        <f t="shared" si="52"/>
        <v>12</v>
      </c>
      <c r="I1525">
        <f t="shared" si="53"/>
        <v>2021</v>
      </c>
    </row>
    <row r="1526" spans="1:9" x14ac:dyDescent="0.3">
      <c r="A1526" s="1">
        <v>44547</v>
      </c>
      <c r="B1526" t="s">
        <v>3</v>
      </c>
      <c r="C1526" t="s">
        <v>38</v>
      </c>
      <c r="D1526" t="s">
        <v>5</v>
      </c>
      <c r="E1526" t="s">
        <v>100</v>
      </c>
      <c r="F1526">
        <v>350</v>
      </c>
      <c r="H1526">
        <f t="shared" si="52"/>
        <v>12</v>
      </c>
      <c r="I1526">
        <f t="shared" si="53"/>
        <v>2021</v>
      </c>
    </row>
    <row r="1527" spans="1:9" x14ac:dyDescent="0.3">
      <c r="A1527" s="1">
        <v>44548</v>
      </c>
      <c r="B1527" t="s">
        <v>82</v>
      </c>
      <c r="G1527">
        <v>9440</v>
      </c>
      <c r="H1527">
        <f t="shared" si="52"/>
        <v>12</v>
      </c>
      <c r="I1527">
        <f t="shared" si="53"/>
        <v>2021</v>
      </c>
    </row>
    <row r="1528" spans="1:9" x14ac:dyDescent="0.3">
      <c r="A1528" s="1">
        <v>44548</v>
      </c>
      <c r="B1528" t="s">
        <v>82</v>
      </c>
      <c r="C1528" t="s">
        <v>359</v>
      </c>
      <c r="D1528" t="s">
        <v>5</v>
      </c>
      <c r="E1528" t="s">
        <v>77</v>
      </c>
      <c r="F1528">
        <v>590</v>
      </c>
      <c r="H1528">
        <f t="shared" si="52"/>
        <v>12</v>
      </c>
      <c r="I1528">
        <f t="shared" si="53"/>
        <v>2021</v>
      </c>
    </row>
    <row r="1529" spans="1:9" x14ac:dyDescent="0.3">
      <c r="A1529" s="1">
        <v>44548</v>
      </c>
      <c r="B1529" t="s">
        <v>82</v>
      </c>
      <c r="C1529" t="s">
        <v>359</v>
      </c>
      <c r="D1529" t="s">
        <v>61</v>
      </c>
      <c r="E1529" t="s">
        <v>77</v>
      </c>
      <c r="F1529">
        <v>8850</v>
      </c>
      <c r="H1529">
        <f t="shared" ref="H1529:H1585" si="54">MONTH(A1529)</f>
        <v>12</v>
      </c>
      <c r="I1529">
        <f t="shared" ref="I1529:I1585" si="55">YEAR(A1529)</f>
        <v>2021</v>
      </c>
    </row>
    <row r="1530" spans="1:9" x14ac:dyDescent="0.3">
      <c r="A1530" s="1">
        <v>44551</v>
      </c>
      <c r="B1530" t="s">
        <v>32</v>
      </c>
      <c r="G1530">
        <v>3288</v>
      </c>
      <c r="H1530">
        <f t="shared" si="54"/>
        <v>12</v>
      </c>
      <c r="I1530">
        <f t="shared" si="55"/>
        <v>2021</v>
      </c>
    </row>
    <row r="1531" spans="1:9" x14ac:dyDescent="0.3">
      <c r="A1531" s="1">
        <v>44551</v>
      </c>
      <c r="B1531" t="s">
        <v>32</v>
      </c>
      <c r="C1531" t="s">
        <v>33</v>
      </c>
      <c r="D1531" t="s">
        <v>18</v>
      </c>
      <c r="E1531" t="s">
        <v>151</v>
      </c>
      <c r="F1531">
        <v>3288</v>
      </c>
      <c r="H1531">
        <f t="shared" si="54"/>
        <v>12</v>
      </c>
      <c r="I1531">
        <f t="shared" si="55"/>
        <v>2021</v>
      </c>
    </row>
    <row r="1532" spans="1:9" x14ac:dyDescent="0.3">
      <c r="A1532" s="1">
        <v>44551</v>
      </c>
      <c r="B1532" t="s">
        <v>51</v>
      </c>
      <c r="G1532">
        <v>7080</v>
      </c>
      <c r="H1532">
        <f t="shared" si="54"/>
        <v>12</v>
      </c>
      <c r="I1532">
        <f t="shared" si="55"/>
        <v>2021</v>
      </c>
    </row>
    <row r="1533" spans="1:9" x14ac:dyDescent="0.3">
      <c r="A1533" s="1">
        <v>44551</v>
      </c>
      <c r="B1533" t="s">
        <v>51</v>
      </c>
      <c r="C1533" t="s">
        <v>359</v>
      </c>
      <c r="D1533" t="s">
        <v>5</v>
      </c>
      <c r="E1533" t="s">
        <v>77</v>
      </c>
      <c r="F1533">
        <v>590</v>
      </c>
      <c r="H1533">
        <f t="shared" si="54"/>
        <v>12</v>
      </c>
      <c r="I1533">
        <f t="shared" si="55"/>
        <v>2021</v>
      </c>
    </row>
    <row r="1534" spans="1:9" x14ac:dyDescent="0.3">
      <c r="A1534" s="1">
        <v>44551</v>
      </c>
      <c r="B1534" t="s">
        <v>51</v>
      </c>
      <c r="C1534" t="s">
        <v>359</v>
      </c>
      <c r="D1534" t="s">
        <v>5</v>
      </c>
      <c r="E1534" t="s">
        <v>77</v>
      </c>
      <c r="F1534">
        <v>590</v>
      </c>
      <c r="H1534">
        <f t="shared" si="54"/>
        <v>12</v>
      </c>
      <c r="I1534">
        <f t="shared" si="55"/>
        <v>2021</v>
      </c>
    </row>
    <row r="1535" spans="1:9" x14ac:dyDescent="0.3">
      <c r="A1535" s="1">
        <v>44551</v>
      </c>
      <c r="B1535" t="s">
        <v>51</v>
      </c>
      <c r="C1535" t="s">
        <v>359</v>
      </c>
      <c r="D1535" t="s">
        <v>37</v>
      </c>
      <c r="E1535" t="s">
        <v>77</v>
      </c>
      <c r="F1535">
        <v>5900</v>
      </c>
      <c r="H1535">
        <f t="shared" si="54"/>
        <v>12</v>
      </c>
      <c r="I1535">
        <f t="shared" si="55"/>
        <v>2021</v>
      </c>
    </row>
    <row r="1536" spans="1:9" x14ac:dyDescent="0.3">
      <c r="A1536" s="1">
        <v>44553</v>
      </c>
      <c r="B1536" t="s">
        <v>47</v>
      </c>
      <c r="G1536">
        <v>3270</v>
      </c>
      <c r="H1536">
        <f t="shared" si="54"/>
        <v>12</v>
      </c>
      <c r="I1536">
        <f t="shared" si="55"/>
        <v>2021</v>
      </c>
    </row>
    <row r="1537" spans="1:9" x14ac:dyDescent="0.3">
      <c r="A1537" s="1">
        <v>44553</v>
      </c>
      <c r="B1537" t="s">
        <v>47</v>
      </c>
      <c r="C1537" t="s">
        <v>33</v>
      </c>
      <c r="D1537" t="s">
        <v>18</v>
      </c>
      <c r="E1537" t="s">
        <v>164</v>
      </c>
      <c r="F1537">
        <v>3270</v>
      </c>
      <c r="H1537">
        <f t="shared" si="54"/>
        <v>12</v>
      </c>
      <c r="I1537">
        <f t="shared" si="55"/>
        <v>2021</v>
      </c>
    </row>
    <row r="1538" spans="1:9" x14ac:dyDescent="0.3">
      <c r="A1538" s="1">
        <v>44553</v>
      </c>
      <c r="B1538" t="s">
        <v>193</v>
      </c>
      <c r="G1538">
        <v>6180</v>
      </c>
      <c r="H1538">
        <f t="shared" si="54"/>
        <v>12</v>
      </c>
      <c r="I1538">
        <f t="shared" si="55"/>
        <v>2021</v>
      </c>
    </row>
    <row r="1539" spans="1:9" x14ac:dyDescent="0.3">
      <c r="A1539" s="1">
        <v>44553</v>
      </c>
      <c r="B1539" t="s">
        <v>193</v>
      </c>
      <c r="C1539" t="s">
        <v>338</v>
      </c>
      <c r="D1539" t="s">
        <v>16</v>
      </c>
      <c r="E1539" t="s">
        <v>81</v>
      </c>
      <c r="F1539">
        <v>6180</v>
      </c>
      <c r="H1539">
        <f t="shared" si="54"/>
        <v>12</v>
      </c>
      <c r="I1539">
        <f t="shared" si="55"/>
        <v>2021</v>
      </c>
    </row>
    <row r="1540" spans="1:9" x14ac:dyDescent="0.3">
      <c r="A1540" s="1">
        <v>44553</v>
      </c>
      <c r="B1540" t="s">
        <v>71</v>
      </c>
      <c r="G1540">
        <v>3540</v>
      </c>
      <c r="H1540">
        <f t="shared" si="54"/>
        <v>12</v>
      </c>
      <c r="I1540">
        <f t="shared" si="55"/>
        <v>2021</v>
      </c>
    </row>
    <row r="1541" spans="1:9" x14ac:dyDescent="0.3">
      <c r="A1541" s="1">
        <v>44553</v>
      </c>
      <c r="B1541" t="s">
        <v>71</v>
      </c>
      <c r="C1541" t="s">
        <v>359</v>
      </c>
      <c r="D1541" t="s">
        <v>18</v>
      </c>
      <c r="E1541" t="s">
        <v>77</v>
      </c>
      <c r="F1541">
        <v>3540</v>
      </c>
      <c r="H1541">
        <f t="shared" si="54"/>
        <v>12</v>
      </c>
      <c r="I1541">
        <f t="shared" si="55"/>
        <v>2021</v>
      </c>
    </row>
    <row r="1542" spans="1:9" x14ac:dyDescent="0.3">
      <c r="A1542" s="1">
        <v>44555</v>
      </c>
      <c r="B1542" t="s">
        <v>83</v>
      </c>
      <c r="G1542">
        <v>1770</v>
      </c>
      <c r="H1542">
        <f t="shared" si="54"/>
        <v>12</v>
      </c>
      <c r="I1542">
        <f t="shared" si="55"/>
        <v>2021</v>
      </c>
    </row>
    <row r="1543" spans="1:9" x14ac:dyDescent="0.3">
      <c r="A1543" s="1">
        <v>44555</v>
      </c>
      <c r="B1543" t="s">
        <v>83</v>
      </c>
      <c r="C1543" t="s">
        <v>359</v>
      </c>
      <c r="D1543" t="s">
        <v>23</v>
      </c>
      <c r="E1543" t="s">
        <v>77</v>
      </c>
      <c r="F1543">
        <v>1770</v>
      </c>
      <c r="H1543">
        <f t="shared" si="54"/>
        <v>12</v>
      </c>
      <c r="I1543">
        <f t="shared" si="55"/>
        <v>2021</v>
      </c>
    </row>
    <row r="1544" spans="1:9" x14ac:dyDescent="0.3">
      <c r="A1544" s="1">
        <v>44557</v>
      </c>
      <c r="B1544" t="s">
        <v>3</v>
      </c>
      <c r="G1544">
        <v>2490</v>
      </c>
      <c r="H1544">
        <f t="shared" si="54"/>
        <v>12</v>
      </c>
      <c r="I1544">
        <f t="shared" si="55"/>
        <v>2021</v>
      </c>
    </row>
    <row r="1545" spans="1:9" x14ac:dyDescent="0.3">
      <c r="A1545" s="1">
        <v>44557</v>
      </c>
      <c r="B1545" t="s">
        <v>3</v>
      </c>
      <c r="C1545" t="s">
        <v>364</v>
      </c>
      <c r="D1545" t="s">
        <v>93</v>
      </c>
      <c r="E1545" t="s">
        <v>13</v>
      </c>
      <c r="F1545">
        <v>1380</v>
      </c>
      <c r="H1545">
        <f t="shared" si="54"/>
        <v>12</v>
      </c>
      <c r="I1545">
        <f t="shared" si="55"/>
        <v>2021</v>
      </c>
    </row>
    <row r="1546" spans="1:9" x14ac:dyDescent="0.3">
      <c r="A1546" s="1">
        <v>44557</v>
      </c>
      <c r="B1546" t="s">
        <v>3</v>
      </c>
      <c r="C1546" t="s">
        <v>213</v>
      </c>
      <c r="D1546" t="s">
        <v>93</v>
      </c>
      <c r="E1546" t="s">
        <v>366</v>
      </c>
      <c r="F1546">
        <v>850</v>
      </c>
      <c r="H1546">
        <f t="shared" si="54"/>
        <v>12</v>
      </c>
      <c r="I1546">
        <f t="shared" si="55"/>
        <v>2021</v>
      </c>
    </row>
    <row r="1547" spans="1:9" x14ac:dyDescent="0.3">
      <c r="A1547" s="1">
        <v>44557</v>
      </c>
      <c r="B1547" t="s">
        <v>3</v>
      </c>
      <c r="C1547" t="s">
        <v>191</v>
      </c>
      <c r="D1547" t="s">
        <v>5</v>
      </c>
      <c r="E1547" t="s">
        <v>230</v>
      </c>
      <c r="F1547">
        <v>260</v>
      </c>
      <c r="H1547">
        <f t="shared" si="54"/>
        <v>12</v>
      </c>
      <c r="I1547">
        <f t="shared" si="55"/>
        <v>2021</v>
      </c>
    </row>
    <row r="1548" spans="1:9" x14ac:dyDescent="0.3">
      <c r="A1548" s="1">
        <v>44559</v>
      </c>
      <c r="B1548" t="s">
        <v>196</v>
      </c>
      <c r="G1548">
        <v>950</v>
      </c>
      <c r="H1548">
        <f t="shared" si="54"/>
        <v>12</v>
      </c>
      <c r="I1548">
        <f t="shared" si="55"/>
        <v>2021</v>
      </c>
    </row>
    <row r="1549" spans="1:9" x14ac:dyDescent="0.3">
      <c r="A1549" s="1">
        <v>44559</v>
      </c>
      <c r="B1549" t="s">
        <v>196</v>
      </c>
      <c r="C1549" t="s">
        <v>148</v>
      </c>
      <c r="D1549" t="s">
        <v>25</v>
      </c>
      <c r="E1549" t="s">
        <v>182</v>
      </c>
      <c r="F1549">
        <v>950</v>
      </c>
      <c r="H1549">
        <f t="shared" si="54"/>
        <v>12</v>
      </c>
      <c r="I1549">
        <f t="shared" si="55"/>
        <v>2021</v>
      </c>
    </row>
    <row r="1550" spans="1:9" x14ac:dyDescent="0.3">
      <c r="A1550" s="1">
        <v>44562</v>
      </c>
      <c r="B1550" t="s">
        <v>367</v>
      </c>
      <c r="G1550">
        <v>27944.97</v>
      </c>
      <c r="H1550">
        <f t="shared" si="54"/>
        <v>1</v>
      </c>
      <c r="I1550">
        <f t="shared" si="55"/>
        <v>2022</v>
      </c>
    </row>
    <row r="1551" spans="1:9" x14ac:dyDescent="0.3">
      <c r="A1551" s="1">
        <v>44562</v>
      </c>
      <c r="B1551" t="s">
        <v>367</v>
      </c>
      <c r="C1551" t="s">
        <v>368</v>
      </c>
      <c r="D1551" t="s">
        <v>18</v>
      </c>
      <c r="H1551">
        <f t="shared" si="54"/>
        <v>1</v>
      </c>
      <c r="I1551">
        <f t="shared" si="55"/>
        <v>2022</v>
      </c>
    </row>
    <row r="1552" spans="1:9" x14ac:dyDescent="0.3">
      <c r="A1552" s="1">
        <v>44562</v>
      </c>
      <c r="B1552" t="s">
        <v>367</v>
      </c>
      <c r="C1552" t="s">
        <v>87</v>
      </c>
      <c r="D1552" t="s">
        <v>78</v>
      </c>
      <c r="E1552" t="s">
        <v>13</v>
      </c>
      <c r="F1552">
        <v>3105</v>
      </c>
      <c r="H1552">
        <f t="shared" si="54"/>
        <v>1</v>
      </c>
      <c r="I1552">
        <f t="shared" si="55"/>
        <v>2022</v>
      </c>
    </row>
    <row r="1553" spans="1:9" x14ac:dyDescent="0.3">
      <c r="A1553" s="1">
        <v>44562</v>
      </c>
      <c r="B1553" t="s">
        <v>367</v>
      </c>
      <c r="C1553" t="s">
        <v>142</v>
      </c>
      <c r="D1553" t="s">
        <v>66</v>
      </c>
      <c r="E1553" t="s">
        <v>156</v>
      </c>
      <c r="F1553">
        <v>5500</v>
      </c>
      <c r="H1553">
        <f t="shared" si="54"/>
        <v>1</v>
      </c>
      <c r="I1553">
        <f t="shared" si="55"/>
        <v>2022</v>
      </c>
    </row>
    <row r="1554" spans="1:9" x14ac:dyDescent="0.3">
      <c r="A1554" s="1">
        <v>44562</v>
      </c>
      <c r="B1554" t="s">
        <v>367</v>
      </c>
      <c r="C1554" t="s">
        <v>123</v>
      </c>
      <c r="D1554" t="s">
        <v>78</v>
      </c>
      <c r="E1554" t="s">
        <v>199</v>
      </c>
      <c r="F1554">
        <v>7020</v>
      </c>
      <c r="H1554">
        <f t="shared" si="54"/>
        <v>1</v>
      </c>
      <c r="I1554">
        <f t="shared" si="55"/>
        <v>2022</v>
      </c>
    </row>
    <row r="1555" spans="1:9" x14ac:dyDescent="0.3">
      <c r="A1555" s="1">
        <v>44562</v>
      </c>
      <c r="B1555" t="s">
        <v>367</v>
      </c>
      <c r="C1555" t="s">
        <v>101</v>
      </c>
      <c r="D1555" t="s">
        <v>12</v>
      </c>
      <c r="E1555" t="s">
        <v>156</v>
      </c>
      <c r="F1555">
        <v>1000</v>
      </c>
      <c r="H1555">
        <f t="shared" si="54"/>
        <v>1</v>
      </c>
      <c r="I1555">
        <f t="shared" si="55"/>
        <v>2022</v>
      </c>
    </row>
    <row r="1556" spans="1:9" x14ac:dyDescent="0.3">
      <c r="A1556" s="1">
        <v>44562</v>
      </c>
      <c r="B1556" t="s">
        <v>367</v>
      </c>
      <c r="C1556" t="s">
        <v>171</v>
      </c>
      <c r="D1556" t="s">
        <v>66</v>
      </c>
      <c r="E1556" t="s">
        <v>35</v>
      </c>
      <c r="F1556">
        <v>6820</v>
      </c>
      <c r="H1556">
        <f t="shared" si="54"/>
        <v>1</v>
      </c>
      <c r="I1556">
        <f t="shared" si="55"/>
        <v>2022</v>
      </c>
    </row>
    <row r="1557" spans="1:9" x14ac:dyDescent="0.3">
      <c r="A1557" s="1">
        <v>44562</v>
      </c>
      <c r="B1557" t="s">
        <v>367</v>
      </c>
      <c r="C1557" t="s">
        <v>221</v>
      </c>
      <c r="D1557" t="s">
        <v>30</v>
      </c>
      <c r="E1557" t="s">
        <v>361</v>
      </c>
      <c r="F1557">
        <v>4799.97</v>
      </c>
      <c r="H1557">
        <f t="shared" si="54"/>
        <v>1</v>
      </c>
      <c r="I1557">
        <f t="shared" si="55"/>
        <v>2022</v>
      </c>
    </row>
    <row r="1558" spans="1:9" x14ac:dyDescent="0.3">
      <c r="A1558" s="1">
        <v>44562</v>
      </c>
      <c r="B1558" t="s">
        <v>367</v>
      </c>
      <c r="C1558" t="s">
        <v>111</v>
      </c>
      <c r="D1558" t="s">
        <v>93</v>
      </c>
      <c r="E1558" t="s">
        <v>119</v>
      </c>
      <c r="F1558">
        <v>1200</v>
      </c>
      <c r="H1558">
        <f t="shared" si="54"/>
        <v>1</v>
      </c>
      <c r="I1558">
        <f t="shared" si="55"/>
        <v>2022</v>
      </c>
    </row>
    <row r="1559" spans="1:9" x14ac:dyDescent="0.3">
      <c r="A1559" s="1">
        <v>44562</v>
      </c>
      <c r="B1559" t="s">
        <v>367</v>
      </c>
      <c r="C1559" t="s">
        <v>38</v>
      </c>
      <c r="D1559" t="s">
        <v>369</v>
      </c>
      <c r="E1559" t="s">
        <v>100</v>
      </c>
      <c r="F1559">
        <v>-2100</v>
      </c>
      <c r="H1559">
        <f t="shared" si="54"/>
        <v>1</v>
      </c>
      <c r="I1559">
        <f t="shared" si="55"/>
        <v>2022</v>
      </c>
    </row>
    <row r="1560" spans="1:9" x14ac:dyDescent="0.3">
      <c r="A1560" s="1">
        <v>44562</v>
      </c>
      <c r="B1560" t="s">
        <v>367</v>
      </c>
      <c r="C1560" t="s">
        <v>225</v>
      </c>
      <c r="D1560" t="s">
        <v>12</v>
      </c>
      <c r="E1560" t="s">
        <v>119</v>
      </c>
      <c r="F1560">
        <v>600</v>
      </c>
      <c r="H1560">
        <f t="shared" si="54"/>
        <v>1</v>
      </c>
      <c r="I1560">
        <f t="shared" si="55"/>
        <v>2022</v>
      </c>
    </row>
    <row r="1561" spans="1:9" x14ac:dyDescent="0.3">
      <c r="A1561" s="1">
        <v>44562</v>
      </c>
      <c r="B1561" t="s">
        <v>367</v>
      </c>
      <c r="C1561" t="s">
        <v>370</v>
      </c>
      <c r="D1561" t="s">
        <v>12</v>
      </c>
      <c r="H1561">
        <f t="shared" si="54"/>
        <v>1</v>
      </c>
      <c r="I1561">
        <f t="shared" si="55"/>
        <v>2022</v>
      </c>
    </row>
    <row r="1562" spans="1:9" x14ac:dyDescent="0.3">
      <c r="A1562" s="1">
        <v>44562</v>
      </c>
      <c r="B1562" t="s">
        <v>367</v>
      </c>
      <c r="C1562" t="s">
        <v>44</v>
      </c>
      <c r="D1562" t="s">
        <v>371</v>
      </c>
      <c r="H1562">
        <f t="shared" si="54"/>
        <v>1</v>
      </c>
      <c r="I1562">
        <f t="shared" si="55"/>
        <v>2022</v>
      </c>
    </row>
    <row r="1563" spans="1:9" x14ac:dyDescent="0.3">
      <c r="A1563" s="1">
        <v>44562</v>
      </c>
      <c r="B1563" t="s">
        <v>3</v>
      </c>
      <c r="G1563">
        <v>400</v>
      </c>
      <c r="H1563">
        <f t="shared" si="54"/>
        <v>1</v>
      </c>
      <c r="I1563">
        <f t="shared" si="55"/>
        <v>2022</v>
      </c>
    </row>
    <row r="1564" spans="1:9" x14ac:dyDescent="0.3">
      <c r="A1564" s="1">
        <v>44562</v>
      </c>
      <c r="B1564" t="s">
        <v>3</v>
      </c>
      <c r="C1564" t="s">
        <v>213</v>
      </c>
      <c r="D1564" t="s">
        <v>12</v>
      </c>
      <c r="E1564" t="s">
        <v>254</v>
      </c>
      <c r="F1564">
        <v>400</v>
      </c>
      <c r="H1564">
        <f t="shared" si="54"/>
        <v>1</v>
      </c>
      <c r="I1564">
        <f t="shared" si="55"/>
        <v>2022</v>
      </c>
    </row>
    <row r="1565" spans="1:9" x14ac:dyDescent="0.3">
      <c r="A1565" s="1">
        <v>44563</v>
      </c>
      <c r="B1565" t="s">
        <v>3</v>
      </c>
      <c r="G1565">
        <v>3280</v>
      </c>
      <c r="H1565">
        <f t="shared" si="54"/>
        <v>1</v>
      </c>
      <c r="I1565">
        <f t="shared" si="55"/>
        <v>2022</v>
      </c>
    </row>
    <row r="1566" spans="1:9" x14ac:dyDescent="0.3">
      <c r="A1566" s="1">
        <v>44563</v>
      </c>
      <c r="B1566" t="s">
        <v>3</v>
      </c>
      <c r="C1566" t="s">
        <v>33</v>
      </c>
      <c r="D1566" t="s">
        <v>18</v>
      </c>
      <c r="E1566" t="s">
        <v>34</v>
      </c>
      <c r="F1566">
        <v>3280</v>
      </c>
      <c r="H1566">
        <f t="shared" si="54"/>
        <v>1</v>
      </c>
      <c r="I1566">
        <f t="shared" si="55"/>
        <v>2022</v>
      </c>
    </row>
    <row r="1567" spans="1:9" x14ac:dyDescent="0.3">
      <c r="A1567" s="1">
        <v>44564</v>
      </c>
      <c r="B1567" t="s">
        <v>88</v>
      </c>
      <c r="G1567">
        <v>7866</v>
      </c>
      <c r="H1567">
        <f t="shared" si="54"/>
        <v>1</v>
      </c>
      <c r="I1567">
        <f t="shared" si="55"/>
        <v>2022</v>
      </c>
    </row>
    <row r="1568" spans="1:9" x14ac:dyDescent="0.3">
      <c r="A1568" s="1">
        <v>44564</v>
      </c>
      <c r="B1568" t="s">
        <v>88</v>
      </c>
      <c r="C1568" t="s">
        <v>40</v>
      </c>
      <c r="D1568" t="s">
        <v>25</v>
      </c>
      <c r="E1568" t="s">
        <v>60</v>
      </c>
      <c r="F1568">
        <v>1625</v>
      </c>
      <c r="H1568">
        <f t="shared" si="54"/>
        <v>1</v>
      </c>
      <c r="I1568">
        <f t="shared" si="55"/>
        <v>2022</v>
      </c>
    </row>
    <row r="1569" spans="1:9" x14ac:dyDescent="0.3">
      <c r="A1569" s="1">
        <v>44564</v>
      </c>
      <c r="B1569" t="s">
        <v>88</v>
      </c>
      <c r="C1569" t="s">
        <v>42</v>
      </c>
      <c r="D1569" t="s">
        <v>23</v>
      </c>
      <c r="E1569" t="s">
        <v>43</v>
      </c>
      <c r="F1569">
        <v>1170</v>
      </c>
      <c r="H1569">
        <f t="shared" si="54"/>
        <v>1</v>
      </c>
      <c r="I1569">
        <f t="shared" si="55"/>
        <v>2022</v>
      </c>
    </row>
    <row r="1570" spans="1:9" x14ac:dyDescent="0.3">
      <c r="A1570" s="1">
        <v>44564</v>
      </c>
      <c r="B1570" t="s">
        <v>88</v>
      </c>
      <c r="C1570" t="s">
        <v>44</v>
      </c>
      <c r="D1570" t="s">
        <v>23</v>
      </c>
      <c r="E1570" t="s">
        <v>372</v>
      </c>
      <c r="F1570">
        <v>1296</v>
      </c>
      <c r="H1570">
        <f t="shared" si="54"/>
        <v>1</v>
      </c>
      <c r="I1570">
        <f t="shared" si="55"/>
        <v>2022</v>
      </c>
    </row>
    <row r="1571" spans="1:9" x14ac:dyDescent="0.3">
      <c r="A1571" s="1">
        <v>44564</v>
      </c>
      <c r="B1571" t="s">
        <v>88</v>
      </c>
      <c r="C1571" t="s">
        <v>38</v>
      </c>
      <c r="D1571" t="s">
        <v>25</v>
      </c>
      <c r="E1571" t="s">
        <v>118</v>
      </c>
      <c r="F1571">
        <v>1700</v>
      </c>
      <c r="H1571">
        <f t="shared" si="54"/>
        <v>1</v>
      </c>
      <c r="I1571">
        <f t="shared" si="55"/>
        <v>2022</v>
      </c>
    </row>
    <row r="1572" spans="1:9" x14ac:dyDescent="0.3">
      <c r="A1572" s="1">
        <v>44564</v>
      </c>
      <c r="B1572" t="s">
        <v>88</v>
      </c>
      <c r="C1572" t="s">
        <v>11</v>
      </c>
      <c r="D1572" t="s">
        <v>25</v>
      </c>
      <c r="E1572" t="s">
        <v>212</v>
      </c>
      <c r="F1572">
        <v>2075</v>
      </c>
      <c r="H1572">
        <f t="shared" si="54"/>
        <v>1</v>
      </c>
      <c r="I1572">
        <f t="shared" si="55"/>
        <v>2022</v>
      </c>
    </row>
    <row r="1573" spans="1:9" x14ac:dyDescent="0.3">
      <c r="A1573" s="1">
        <v>44566</v>
      </c>
      <c r="B1573" t="s">
        <v>8</v>
      </c>
      <c r="G1573">
        <v>29480</v>
      </c>
      <c r="H1573">
        <f t="shared" si="54"/>
        <v>1</v>
      </c>
      <c r="I1573">
        <f t="shared" si="55"/>
        <v>2022</v>
      </c>
    </row>
    <row r="1574" spans="1:9" x14ac:dyDescent="0.3">
      <c r="A1574" s="1">
        <v>44566</v>
      </c>
      <c r="B1574" t="s">
        <v>8</v>
      </c>
      <c r="C1574" t="s">
        <v>40</v>
      </c>
      <c r="D1574" t="s">
        <v>39</v>
      </c>
      <c r="E1574" t="s">
        <v>104</v>
      </c>
      <c r="F1574">
        <v>9900</v>
      </c>
      <c r="H1574">
        <f t="shared" si="54"/>
        <v>1</v>
      </c>
      <c r="I1574">
        <f t="shared" si="55"/>
        <v>2022</v>
      </c>
    </row>
    <row r="1575" spans="1:9" x14ac:dyDescent="0.3">
      <c r="A1575" s="1">
        <v>44566</v>
      </c>
      <c r="B1575" t="s">
        <v>8</v>
      </c>
      <c r="C1575" t="s">
        <v>38</v>
      </c>
      <c r="D1575" t="s">
        <v>37</v>
      </c>
      <c r="E1575" t="s">
        <v>212</v>
      </c>
      <c r="F1575">
        <v>4150</v>
      </c>
      <c r="H1575">
        <f t="shared" si="54"/>
        <v>1</v>
      </c>
      <c r="I1575">
        <f t="shared" si="55"/>
        <v>2022</v>
      </c>
    </row>
    <row r="1576" spans="1:9" x14ac:dyDescent="0.3">
      <c r="A1576" s="1">
        <v>44566</v>
      </c>
      <c r="B1576" t="s">
        <v>8</v>
      </c>
      <c r="C1576" t="s">
        <v>11</v>
      </c>
      <c r="D1576" t="s">
        <v>37</v>
      </c>
      <c r="E1576" t="s">
        <v>13</v>
      </c>
      <c r="F1576">
        <v>3450</v>
      </c>
      <c r="H1576">
        <f t="shared" si="54"/>
        <v>1</v>
      </c>
      <c r="I1576">
        <f t="shared" si="55"/>
        <v>2022</v>
      </c>
    </row>
    <row r="1577" spans="1:9" x14ac:dyDescent="0.3">
      <c r="A1577" s="1">
        <v>44566</v>
      </c>
      <c r="B1577" t="s">
        <v>8</v>
      </c>
      <c r="C1577" t="s">
        <v>364</v>
      </c>
      <c r="D1577" t="s">
        <v>16</v>
      </c>
      <c r="E1577" t="s">
        <v>13</v>
      </c>
      <c r="F1577">
        <v>4140</v>
      </c>
      <c r="H1577">
        <f t="shared" si="54"/>
        <v>1</v>
      </c>
      <c r="I1577">
        <f t="shared" si="55"/>
        <v>2022</v>
      </c>
    </row>
    <row r="1578" spans="1:9" x14ac:dyDescent="0.3">
      <c r="A1578" s="1">
        <v>44566</v>
      </c>
      <c r="B1578" t="s">
        <v>8</v>
      </c>
      <c r="C1578" t="s">
        <v>325</v>
      </c>
      <c r="D1578" t="s">
        <v>16</v>
      </c>
      <c r="E1578" t="s">
        <v>13</v>
      </c>
      <c r="F1578">
        <v>4140</v>
      </c>
      <c r="H1578">
        <f t="shared" si="54"/>
        <v>1</v>
      </c>
      <c r="I1578">
        <f t="shared" si="55"/>
        <v>2022</v>
      </c>
    </row>
    <row r="1579" spans="1:9" x14ac:dyDescent="0.3">
      <c r="A1579" s="1">
        <v>44566</v>
      </c>
      <c r="B1579" t="s">
        <v>8</v>
      </c>
      <c r="C1579" t="s">
        <v>94</v>
      </c>
      <c r="D1579" t="s">
        <v>251</v>
      </c>
      <c r="E1579" t="s">
        <v>373</v>
      </c>
      <c r="F1579">
        <v>3700</v>
      </c>
      <c r="H1579">
        <f t="shared" si="54"/>
        <v>1</v>
      </c>
      <c r="I1579">
        <f t="shared" si="55"/>
        <v>2022</v>
      </c>
    </row>
    <row r="1580" spans="1:9" x14ac:dyDescent="0.3">
      <c r="A1580" s="1">
        <v>44566</v>
      </c>
      <c r="B1580" t="s">
        <v>51</v>
      </c>
      <c r="G1580">
        <v>5900</v>
      </c>
      <c r="H1580">
        <f t="shared" si="54"/>
        <v>1</v>
      </c>
      <c r="I1580">
        <f t="shared" si="55"/>
        <v>2022</v>
      </c>
    </row>
    <row r="1581" spans="1:9" x14ac:dyDescent="0.3">
      <c r="A1581" s="1">
        <v>44566</v>
      </c>
      <c r="B1581" t="s">
        <v>51</v>
      </c>
      <c r="C1581" t="s">
        <v>359</v>
      </c>
      <c r="D1581" t="s">
        <v>37</v>
      </c>
      <c r="E1581" t="s">
        <v>77</v>
      </c>
      <c r="F1581">
        <v>5900</v>
      </c>
      <c r="H1581">
        <f t="shared" si="54"/>
        <v>1</v>
      </c>
      <c r="I1581">
        <f t="shared" si="55"/>
        <v>2022</v>
      </c>
    </row>
    <row r="1582" spans="1:9" x14ac:dyDescent="0.3">
      <c r="A1582" s="1">
        <v>44566</v>
      </c>
      <c r="B1582" t="s">
        <v>337</v>
      </c>
      <c r="G1582">
        <v>11020</v>
      </c>
      <c r="H1582">
        <f t="shared" si="54"/>
        <v>1</v>
      </c>
      <c r="I1582">
        <f t="shared" si="55"/>
        <v>2022</v>
      </c>
    </row>
    <row r="1583" spans="1:9" x14ac:dyDescent="0.3">
      <c r="A1583" s="1">
        <v>44566</v>
      </c>
      <c r="B1583" t="s">
        <v>337</v>
      </c>
      <c r="C1583" t="s">
        <v>339</v>
      </c>
      <c r="D1583" t="s">
        <v>9</v>
      </c>
      <c r="E1583" t="s">
        <v>315</v>
      </c>
      <c r="F1583">
        <v>4900</v>
      </c>
      <c r="H1583">
        <f t="shared" si="54"/>
        <v>1</v>
      </c>
      <c r="I1583">
        <f t="shared" si="55"/>
        <v>2022</v>
      </c>
    </row>
    <row r="1584" spans="1:9" x14ac:dyDescent="0.3">
      <c r="A1584" s="1">
        <v>44566</v>
      </c>
      <c r="B1584" t="s">
        <v>337</v>
      </c>
      <c r="C1584" t="s">
        <v>338</v>
      </c>
      <c r="D1584" t="s">
        <v>16</v>
      </c>
      <c r="E1584" t="s">
        <v>7</v>
      </c>
      <c r="F1584">
        <v>6120</v>
      </c>
      <c r="H1584">
        <f t="shared" si="54"/>
        <v>1</v>
      </c>
      <c r="I1584">
        <f t="shared" si="55"/>
        <v>2022</v>
      </c>
    </row>
    <row r="1585" spans="1:9" x14ac:dyDescent="0.3">
      <c r="A1585" s="1">
        <v>44568</v>
      </c>
      <c r="B1585" t="s">
        <v>234</v>
      </c>
      <c r="G1585">
        <v>25720</v>
      </c>
      <c r="H1585">
        <f t="shared" si="54"/>
        <v>1</v>
      </c>
      <c r="I1585">
        <f t="shared" si="55"/>
        <v>2022</v>
      </c>
    </row>
    <row r="1586" spans="1:9" x14ac:dyDescent="0.3">
      <c r="A1586" s="1">
        <v>44568</v>
      </c>
      <c r="B1586" t="s">
        <v>234</v>
      </c>
      <c r="C1586" t="s">
        <v>94</v>
      </c>
      <c r="D1586" t="s">
        <v>251</v>
      </c>
      <c r="E1586" t="s">
        <v>186</v>
      </c>
      <c r="F1586">
        <v>3800</v>
      </c>
      <c r="H1586">
        <f t="shared" ref="H1586:H1645" si="56">MONTH(A1586)</f>
        <v>1</v>
      </c>
      <c r="I1586">
        <f t="shared" ref="I1586:I1645" si="57">YEAR(A1586)</f>
        <v>2022</v>
      </c>
    </row>
    <row r="1587" spans="1:9" x14ac:dyDescent="0.3">
      <c r="A1587" s="1">
        <v>44568</v>
      </c>
      <c r="B1587" t="s">
        <v>234</v>
      </c>
      <c r="C1587" t="s">
        <v>40</v>
      </c>
      <c r="D1587" t="s">
        <v>9</v>
      </c>
      <c r="E1587" t="s">
        <v>104</v>
      </c>
      <c r="F1587">
        <v>6600</v>
      </c>
      <c r="H1587">
        <f t="shared" si="56"/>
        <v>1</v>
      </c>
      <c r="I1587">
        <f t="shared" si="57"/>
        <v>2022</v>
      </c>
    </row>
    <row r="1588" spans="1:9" x14ac:dyDescent="0.3">
      <c r="A1588" s="1">
        <v>44568</v>
      </c>
      <c r="B1588" t="s">
        <v>234</v>
      </c>
      <c r="C1588" t="s">
        <v>38</v>
      </c>
      <c r="D1588" t="s">
        <v>16</v>
      </c>
      <c r="E1588" t="s">
        <v>212</v>
      </c>
      <c r="F1588">
        <v>4980</v>
      </c>
      <c r="H1588">
        <f t="shared" si="56"/>
        <v>1</v>
      </c>
      <c r="I1588">
        <f t="shared" si="57"/>
        <v>2022</v>
      </c>
    </row>
    <row r="1589" spans="1:9" x14ac:dyDescent="0.3">
      <c r="A1589" s="1">
        <v>44568</v>
      </c>
      <c r="B1589" t="s">
        <v>234</v>
      </c>
      <c r="C1589" t="s">
        <v>11</v>
      </c>
      <c r="D1589" t="s">
        <v>59</v>
      </c>
      <c r="E1589" t="s">
        <v>13</v>
      </c>
      <c r="F1589">
        <v>2760</v>
      </c>
      <c r="H1589">
        <f t="shared" si="56"/>
        <v>1</v>
      </c>
      <c r="I1589">
        <f t="shared" si="57"/>
        <v>2022</v>
      </c>
    </row>
    <row r="1590" spans="1:9" x14ac:dyDescent="0.3">
      <c r="A1590" s="1">
        <v>44568</v>
      </c>
      <c r="B1590" t="s">
        <v>234</v>
      </c>
      <c r="C1590" t="s">
        <v>364</v>
      </c>
      <c r="D1590" t="s">
        <v>59</v>
      </c>
      <c r="E1590" t="s">
        <v>13</v>
      </c>
      <c r="F1590">
        <v>2760</v>
      </c>
      <c r="H1590">
        <f t="shared" si="56"/>
        <v>1</v>
      </c>
      <c r="I1590">
        <f t="shared" si="57"/>
        <v>2022</v>
      </c>
    </row>
    <row r="1591" spans="1:9" x14ac:dyDescent="0.3">
      <c r="A1591" s="1">
        <v>44568</v>
      </c>
      <c r="B1591" t="s">
        <v>234</v>
      </c>
      <c r="C1591" t="s">
        <v>325</v>
      </c>
      <c r="D1591" t="s">
        <v>59</v>
      </c>
      <c r="E1591" t="s">
        <v>13</v>
      </c>
      <c r="F1591">
        <v>2760</v>
      </c>
      <c r="H1591">
        <f t="shared" si="56"/>
        <v>1</v>
      </c>
      <c r="I1591">
        <f t="shared" si="57"/>
        <v>2022</v>
      </c>
    </row>
    <row r="1592" spans="1:9" x14ac:dyDescent="0.3">
      <c r="A1592" s="1">
        <v>44568</v>
      </c>
      <c r="B1592" t="s">
        <v>234</v>
      </c>
      <c r="C1592" t="s">
        <v>123</v>
      </c>
      <c r="D1592" t="s">
        <v>5</v>
      </c>
      <c r="E1592" t="s">
        <v>199</v>
      </c>
      <c r="F1592">
        <v>780</v>
      </c>
      <c r="H1592">
        <f t="shared" si="56"/>
        <v>1</v>
      </c>
      <c r="I1592">
        <f t="shared" si="57"/>
        <v>2022</v>
      </c>
    </row>
    <row r="1593" spans="1:9" x14ac:dyDescent="0.3">
      <c r="A1593" s="1">
        <v>44568</v>
      </c>
      <c r="B1593" t="s">
        <v>234</v>
      </c>
      <c r="C1593" t="s">
        <v>142</v>
      </c>
      <c r="D1593" t="s">
        <v>5</v>
      </c>
      <c r="E1593" t="s">
        <v>156</v>
      </c>
      <c r="F1593">
        <v>500</v>
      </c>
      <c r="H1593">
        <f t="shared" si="56"/>
        <v>1</v>
      </c>
      <c r="I1593">
        <f t="shared" si="57"/>
        <v>2022</v>
      </c>
    </row>
    <row r="1594" spans="1:9" x14ac:dyDescent="0.3">
      <c r="A1594" s="1">
        <v>44568</v>
      </c>
      <c r="B1594" t="s">
        <v>234</v>
      </c>
      <c r="C1594" t="s">
        <v>171</v>
      </c>
      <c r="D1594" t="s">
        <v>5</v>
      </c>
      <c r="E1594" t="s">
        <v>199</v>
      </c>
      <c r="F1594">
        <v>780</v>
      </c>
      <c r="H1594">
        <f t="shared" si="56"/>
        <v>1</v>
      </c>
      <c r="I1594">
        <f t="shared" si="57"/>
        <v>2022</v>
      </c>
    </row>
    <row r="1595" spans="1:9" x14ac:dyDescent="0.3">
      <c r="A1595" s="1">
        <v>44569</v>
      </c>
      <c r="B1595" t="s">
        <v>50</v>
      </c>
      <c r="G1595">
        <v>590</v>
      </c>
      <c r="H1595">
        <f t="shared" si="56"/>
        <v>1</v>
      </c>
      <c r="I1595">
        <f t="shared" si="57"/>
        <v>2022</v>
      </c>
    </row>
    <row r="1596" spans="1:9" x14ac:dyDescent="0.3">
      <c r="A1596" s="1">
        <v>44569</v>
      </c>
      <c r="B1596" t="s">
        <v>50</v>
      </c>
      <c r="C1596" t="s">
        <v>359</v>
      </c>
      <c r="D1596" t="s">
        <v>5</v>
      </c>
      <c r="E1596" t="s">
        <v>77</v>
      </c>
      <c r="F1596">
        <v>590</v>
      </c>
      <c r="H1596">
        <f t="shared" si="56"/>
        <v>1</v>
      </c>
      <c r="I1596">
        <f t="shared" si="57"/>
        <v>2022</v>
      </c>
    </row>
    <row r="1597" spans="1:9" x14ac:dyDescent="0.3">
      <c r="A1597" s="1">
        <v>44573</v>
      </c>
      <c r="B1597" t="s">
        <v>28</v>
      </c>
      <c r="G1597">
        <v>4690</v>
      </c>
      <c r="H1597">
        <f t="shared" si="56"/>
        <v>1</v>
      </c>
      <c r="I1597">
        <f t="shared" si="57"/>
        <v>2022</v>
      </c>
    </row>
    <row r="1598" spans="1:9" x14ac:dyDescent="0.3">
      <c r="A1598" s="1">
        <v>44573</v>
      </c>
      <c r="B1598" t="s">
        <v>28</v>
      </c>
      <c r="C1598" t="s">
        <v>40</v>
      </c>
      <c r="D1598" t="s">
        <v>23</v>
      </c>
      <c r="E1598" t="s">
        <v>104</v>
      </c>
      <c r="F1598">
        <v>990</v>
      </c>
      <c r="H1598">
        <f t="shared" si="56"/>
        <v>1</v>
      </c>
      <c r="I1598">
        <f t="shared" si="57"/>
        <v>2022</v>
      </c>
    </row>
    <row r="1599" spans="1:9" x14ac:dyDescent="0.3">
      <c r="A1599" s="1">
        <v>44573</v>
      </c>
      <c r="B1599" t="s">
        <v>28</v>
      </c>
      <c r="C1599" t="s">
        <v>98</v>
      </c>
      <c r="D1599" t="s">
        <v>5</v>
      </c>
      <c r="E1599" t="s">
        <v>26</v>
      </c>
      <c r="F1599">
        <v>530</v>
      </c>
      <c r="H1599">
        <f t="shared" si="56"/>
        <v>1</v>
      </c>
      <c r="I1599">
        <f t="shared" si="57"/>
        <v>2022</v>
      </c>
    </row>
    <row r="1600" spans="1:9" x14ac:dyDescent="0.3">
      <c r="A1600" s="1">
        <v>44573</v>
      </c>
      <c r="B1600" t="s">
        <v>28</v>
      </c>
      <c r="C1600" t="s">
        <v>364</v>
      </c>
      <c r="D1600" t="s">
        <v>93</v>
      </c>
      <c r="E1600" t="s">
        <v>13</v>
      </c>
      <c r="F1600">
        <v>1380</v>
      </c>
      <c r="H1600">
        <f t="shared" si="56"/>
        <v>1</v>
      </c>
      <c r="I1600">
        <f t="shared" si="57"/>
        <v>2022</v>
      </c>
    </row>
    <row r="1601" spans="1:9" x14ac:dyDescent="0.3">
      <c r="A1601" s="1">
        <v>44573</v>
      </c>
      <c r="B1601" t="s">
        <v>28</v>
      </c>
      <c r="C1601" t="s">
        <v>325</v>
      </c>
      <c r="D1601" t="s">
        <v>93</v>
      </c>
      <c r="E1601" t="s">
        <v>13</v>
      </c>
      <c r="F1601">
        <v>1380</v>
      </c>
      <c r="H1601">
        <f t="shared" si="56"/>
        <v>1</v>
      </c>
      <c r="I1601">
        <f t="shared" si="57"/>
        <v>2022</v>
      </c>
    </row>
    <row r="1602" spans="1:9" x14ac:dyDescent="0.3">
      <c r="A1602" s="1">
        <v>44573</v>
      </c>
      <c r="B1602" t="s">
        <v>28</v>
      </c>
      <c r="C1602" t="s">
        <v>38</v>
      </c>
      <c r="D1602" t="s">
        <v>5</v>
      </c>
      <c r="E1602" t="s">
        <v>240</v>
      </c>
      <c r="F1602">
        <v>410</v>
      </c>
      <c r="H1602">
        <f t="shared" si="56"/>
        <v>1</v>
      </c>
      <c r="I1602">
        <f t="shared" si="57"/>
        <v>2022</v>
      </c>
    </row>
    <row r="1603" spans="1:9" x14ac:dyDescent="0.3">
      <c r="A1603" s="1">
        <v>44573</v>
      </c>
      <c r="B1603" t="s">
        <v>3</v>
      </c>
      <c r="G1603">
        <v>3300</v>
      </c>
      <c r="H1603">
        <f t="shared" si="56"/>
        <v>1</v>
      </c>
      <c r="I1603">
        <f t="shared" si="57"/>
        <v>2022</v>
      </c>
    </row>
    <row r="1604" spans="1:9" x14ac:dyDescent="0.3">
      <c r="A1604" s="1">
        <v>44573</v>
      </c>
      <c r="B1604" t="s">
        <v>3</v>
      </c>
      <c r="C1604" t="s">
        <v>40</v>
      </c>
      <c r="D1604" t="s">
        <v>37</v>
      </c>
      <c r="E1604" t="s">
        <v>104</v>
      </c>
      <c r="F1604">
        <v>3300</v>
      </c>
      <c r="H1604">
        <f t="shared" si="56"/>
        <v>1</v>
      </c>
      <c r="I1604">
        <f t="shared" si="57"/>
        <v>2022</v>
      </c>
    </row>
    <row r="1605" spans="1:9" x14ac:dyDescent="0.3">
      <c r="A1605" s="1">
        <v>44576</v>
      </c>
      <c r="B1605" t="s">
        <v>8</v>
      </c>
      <c r="G1605">
        <v>2360</v>
      </c>
      <c r="H1605">
        <f t="shared" si="56"/>
        <v>1</v>
      </c>
      <c r="I1605">
        <f t="shared" si="57"/>
        <v>2022</v>
      </c>
    </row>
    <row r="1606" spans="1:9" x14ac:dyDescent="0.3">
      <c r="A1606" s="1">
        <v>44576</v>
      </c>
      <c r="B1606" t="s">
        <v>8</v>
      </c>
      <c r="C1606" t="s">
        <v>359</v>
      </c>
      <c r="D1606" t="s">
        <v>5</v>
      </c>
      <c r="E1606" t="s">
        <v>77</v>
      </c>
      <c r="F1606">
        <v>590</v>
      </c>
      <c r="H1606">
        <f t="shared" si="56"/>
        <v>1</v>
      </c>
      <c r="I1606">
        <f t="shared" si="57"/>
        <v>2022</v>
      </c>
    </row>
    <row r="1607" spans="1:9" x14ac:dyDescent="0.3">
      <c r="A1607" s="1">
        <v>44576</v>
      </c>
      <c r="B1607" t="s">
        <v>8</v>
      </c>
      <c r="C1607" t="s">
        <v>359</v>
      </c>
      <c r="D1607" t="s">
        <v>23</v>
      </c>
      <c r="E1607" t="s">
        <v>77</v>
      </c>
      <c r="F1607">
        <v>1770</v>
      </c>
      <c r="H1607">
        <f t="shared" si="56"/>
        <v>1</v>
      </c>
      <c r="I1607">
        <f t="shared" si="57"/>
        <v>2022</v>
      </c>
    </row>
    <row r="1608" spans="1:9" x14ac:dyDescent="0.3">
      <c r="A1608" s="1">
        <v>44579</v>
      </c>
      <c r="B1608" t="s">
        <v>50</v>
      </c>
      <c r="G1608">
        <v>4130</v>
      </c>
      <c r="H1608">
        <f t="shared" si="56"/>
        <v>1</v>
      </c>
      <c r="I1608">
        <f t="shared" si="57"/>
        <v>2022</v>
      </c>
    </row>
    <row r="1609" spans="1:9" x14ac:dyDescent="0.3">
      <c r="A1609" s="1">
        <v>44579</v>
      </c>
      <c r="B1609" t="s">
        <v>50</v>
      </c>
      <c r="C1609" t="s">
        <v>359</v>
      </c>
      <c r="D1609" t="s">
        <v>5</v>
      </c>
      <c r="E1609" t="s">
        <v>77</v>
      </c>
      <c r="F1609">
        <v>590</v>
      </c>
      <c r="H1609">
        <f t="shared" si="56"/>
        <v>1</v>
      </c>
      <c r="I1609">
        <f t="shared" si="57"/>
        <v>2022</v>
      </c>
    </row>
    <row r="1610" spans="1:9" x14ac:dyDescent="0.3">
      <c r="A1610" s="1">
        <v>44579</v>
      </c>
      <c r="B1610" t="s">
        <v>50</v>
      </c>
      <c r="C1610" t="s">
        <v>359</v>
      </c>
      <c r="D1610" t="s">
        <v>18</v>
      </c>
      <c r="E1610" t="s">
        <v>77</v>
      </c>
      <c r="F1610">
        <v>3540</v>
      </c>
      <c r="H1610">
        <f t="shared" si="56"/>
        <v>1</v>
      </c>
      <c r="I1610">
        <f t="shared" si="57"/>
        <v>2022</v>
      </c>
    </row>
    <row r="1611" spans="1:9" x14ac:dyDescent="0.3">
      <c r="A1611" s="1">
        <v>44582</v>
      </c>
      <c r="B1611" t="s">
        <v>64</v>
      </c>
      <c r="G1611">
        <v>3030</v>
      </c>
      <c r="H1611">
        <f t="shared" si="56"/>
        <v>1</v>
      </c>
      <c r="I1611">
        <f t="shared" si="57"/>
        <v>2022</v>
      </c>
    </row>
    <row r="1612" spans="1:9" x14ac:dyDescent="0.3">
      <c r="A1612" s="1">
        <v>44582</v>
      </c>
      <c r="B1612" t="s">
        <v>64</v>
      </c>
      <c r="C1612" t="s">
        <v>325</v>
      </c>
      <c r="D1612" t="s">
        <v>93</v>
      </c>
      <c r="E1612" t="s">
        <v>13</v>
      </c>
      <c r="F1612">
        <v>1380</v>
      </c>
      <c r="H1612">
        <f t="shared" si="56"/>
        <v>1</v>
      </c>
      <c r="I1612">
        <f t="shared" si="57"/>
        <v>2022</v>
      </c>
    </row>
    <row r="1613" spans="1:9" x14ac:dyDescent="0.3">
      <c r="A1613" s="1">
        <v>44582</v>
      </c>
      <c r="B1613" t="s">
        <v>64</v>
      </c>
      <c r="C1613" t="s">
        <v>40</v>
      </c>
      <c r="D1613" t="s">
        <v>25</v>
      </c>
      <c r="E1613" t="s">
        <v>104</v>
      </c>
      <c r="F1613">
        <v>1650</v>
      </c>
      <c r="H1613">
        <f t="shared" si="56"/>
        <v>1</v>
      </c>
      <c r="I1613">
        <f t="shared" si="57"/>
        <v>2022</v>
      </c>
    </row>
    <row r="1614" spans="1:9" x14ac:dyDescent="0.3">
      <c r="A1614" s="1">
        <v>44582</v>
      </c>
      <c r="B1614" t="s">
        <v>8</v>
      </c>
      <c r="G1614">
        <v>15340</v>
      </c>
      <c r="H1614">
        <f t="shared" si="56"/>
        <v>1</v>
      </c>
      <c r="I1614">
        <f t="shared" si="57"/>
        <v>2022</v>
      </c>
    </row>
    <row r="1615" spans="1:9" x14ac:dyDescent="0.3">
      <c r="A1615" s="1">
        <v>44582</v>
      </c>
      <c r="B1615" t="s">
        <v>8</v>
      </c>
      <c r="C1615" t="s">
        <v>359</v>
      </c>
      <c r="D1615" t="s">
        <v>374</v>
      </c>
      <c r="E1615" t="s">
        <v>77</v>
      </c>
      <c r="F1615">
        <v>15340</v>
      </c>
      <c r="H1615">
        <f t="shared" si="56"/>
        <v>1</v>
      </c>
      <c r="I1615">
        <f t="shared" si="57"/>
        <v>2022</v>
      </c>
    </row>
    <row r="1616" spans="1:9" x14ac:dyDescent="0.3">
      <c r="A1616" s="1">
        <v>44582</v>
      </c>
      <c r="B1616" t="s">
        <v>248</v>
      </c>
      <c r="G1616">
        <v>4680</v>
      </c>
      <c r="H1616">
        <f t="shared" si="56"/>
        <v>1</v>
      </c>
      <c r="I1616">
        <f t="shared" si="57"/>
        <v>2022</v>
      </c>
    </row>
    <row r="1617" spans="1:9" x14ac:dyDescent="0.3">
      <c r="A1617" s="1">
        <v>44582</v>
      </c>
      <c r="B1617" t="s">
        <v>248</v>
      </c>
      <c r="C1617" t="s">
        <v>364</v>
      </c>
      <c r="D1617" t="s">
        <v>93</v>
      </c>
      <c r="E1617" t="s">
        <v>13</v>
      </c>
      <c r="F1617">
        <v>1380</v>
      </c>
      <c r="H1617">
        <f t="shared" si="56"/>
        <v>1</v>
      </c>
      <c r="I1617">
        <f t="shared" si="57"/>
        <v>2022</v>
      </c>
    </row>
    <row r="1618" spans="1:9" x14ac:dyDescent="0.3">
      <c r="A1618" s="1">
        <v>44582</v>
      </c>
      <c r="B1618" t="s">
        <v>248</v>
      </c>
      <c r="C1618" t="s">
        <v>40</v>
      </c>
      <c r="D1618" t="s">
        <v>37</v>
      </c>
      <c r="E1618" t="s">
        <v>104</v>
      </c>
      <c r="F1618">
        <v>3300</v>
      </c>
      <c r="H1618">
        <f t="shared" si="56"/>
        <v>1</v>
      </c>
      <c r="I1618">
        <f t="shared" si="57"/>
        <v>2022</v>
      </c>
    </row>
    <row r="1619" spans="1:9" x14ac:dyDescent="0.3">
      <c r="A1619" s="1">
        <v>44584</v>
      </c>
      <c r="B1619" t="s">
        <v>82</v>
      </c>
      <c r="G1619">
        <v>1180</v>
      </c>
      <c r="H1619">
        <f t="shared" si="56"/>
        <v>1</v>
      </c>
      <c r="I1619">
        <f t="shared" si="57"/>
        <v>2022</v>
      </c>
    </row>
    <row r="1620" spans="1:9" x14ac:dyDescent="0.3">
      <c r="A1620" s="1">
        <v>44584</v>
      </c>
      <c r="B1620" t="s">
        <v>82</v>
      </c>
      <c r="C1620" t="s">
        <v>359</v>
      </c>
      <c r="D1620" t="s">
        <v>12</v>
      </c>
      <c r="E1620" t="s">
        <v>77</v>
      </c>
      <c r="F1620">
        <v>1180</v>
      </c>
      <c r="H1620">
        <f t="shared" si="56"/>
        <v>1</v>
      </c>
      <c r="I1620">
        <f t="shared" si="57"/>
        <v>2022</v>
      </c>
    </row>
    <row r="1621" spans="1:9" x14ac:dyDescent="0.3">
      <c r="A1621" s="1">
        <v>44587</v>
      </c>
      <c r="B1621" t="s">
        <v>96</v>
      </c>
      <c r="G1621">
        <v>1180</v>
      </c>
      <c r="H1621">
        <f t="shared" si="56"/>
        <v>1</v>
      </c>
      <c r="I1621">
        <f t="shared" si="57"/>
        <v>2022</v>
      </c>
    </row>
    <row r="1622" spans="1:9" x14ac:dyDescent="0.3">
      <c r="A1622" s="1">
        <v>44587</v>
      </c>
      <c r="B1622" t="s">
        <v>96</v>
      </c>
      <c r="C1622" t="s">
        <v>359</v>
      </c>
      <c r="D1622" t="s">
        <v>12</v>
      </c>
      <c r="E1622" t="s">
        <v>77</v>
      </c>
      <c r="F1622">
        <v>1180</v>
      </c>
      <c r="H1622">
        <f t="shared" si="56"/>
        <v>1</v>
      </c>
      <c r="I1622">
        <f t="shared" si="57"/>
        <v>2022</v>
      </c>
    </row>
    <row r="1623" spans="1:9" x14ac:dyDescent="0.3">
      <c r="A1623" s="1">
        <v>44587</v>
      </c>
      <c r="B1623" t="s">
        <v>45</v>
      </c>
      <c r="G1623">
        <v>2360</v>
      </c>
      <c r="H1623">
        <f t="shared" si="56"/>
        <v>1</v>
      </c>
      <c r="I1623">
        <f t="shared" si="57"/>
        <v>2022</v>
      </c>
    </row>
    <row r="1624" spans="1:9" x14ac:dyDescent="0.3">
      <c r="A1624" s="1">
        <v>44587</v>
      </c>
      <c r="B1624" t="s">
        <v>45</v>
      </c>
      <c r="C1624" t="s">
        <v>359</v>
      </c>
      <c r="D1624" t="s">
        <v>93</v>
      </c>
      <c r="E1624" t="s">
        <v>77</v>
      </c>
      <c r="F1624">
        <v>2360</v>
      </c>
      <c r="H1624">
        <f t="shared" si="56"/>
        <v>1</v>
      </c>
      <c r="I1624">
        <f t="shared" si="57"/>
        <v>2022</v>
      </c>
    </row>
    <row r="1625" spans="1:9" x14ac:dyDescent="0.3">
      <c r="A1625" s="1">
        <v>44587</v>
      </c>
      <c r="B1625" t="s">
        <v>50</v>
      </c>
      <c r="G1625">
        <v>11800</v>
      </c>
      <c r="H1625">
        <f t="shared" si="56"/>
        <v>1</v>
      </c>
      <c r="I1625">
        <f t="shared" si="57"/>
        <v>2022</v>
      </c>
    </row>
    <row r="1626" spans="1:9" x14ac:dyDescent="0.3">
      <c r="A1626" s="1">
        <v>44587</v>
      </c>
      <c r="B1626" t="s">
        <v>50</v>
      </c>
      <c r="C1626" t="s">
        <v>359</v>
      </c>
      <c r="D1626" t="s">
        <v>9</v>
      </c>
      <c r="E1626" t="s">
        <v>77</v>
      </c>
      <c r="F1626">
        <v>11800</v>
      </c>
      <c r="H1626">
        <f t="shared" si="56"/>
        <v>1</v>
      </c>
      <c r="I1626">
        <f t="shared" si="57"/>
        <v>2022</v>
      </c>
    </row>
    <row r="1627" spans="1:9" x14ac:dyDescent="0.3">
      <c r="A1627" s="1">
        <v>44587</v>
      </c>
      <c r="B1627" t="s">
        <v>75</v>
      </c>
      <c r="G1627">
        <v>7670</v>
      </c>
      <c r="H1627">
        <f t="shared" si="56"/>
        <v>1</v>
      </c>
      <c r="I1627">
        <f t="shared" si="57"/>
        <v>2022</v>
      </c>
    </row>
    <row r="1628" spans="1:9" x14ac:dyDescent="0.3">
      <c r="A1628" s="1">
        <v>44587</v>
      </c>
      <c r="B1628" t="s">
        <v>75</v>
      </c>
      <c r="C1628" t="s">
        <v>194</v>
      </c>
      <c r="D1628">
        <v>491</v>
      </c>
      <c r="F1628">
        <v>7670</v>
      </c>
      <c r="H1628">
        <f t="shared" si="56"/>
        <v>1</v>
      </c>
      <c r="I1628">
        <f t="shared" si="57"/>
        <v>2022</v>
      </c>
    </row>
    <row r="1629" spans="1:9" x14ac:dyDescent="0.3">
      <c r="A1629" s="1">
        <v>44587</v>
      </c>
      <c r="B1629" t="s">
        <v>75</v>
      </c>
      <c r="C1629" t="s">
        <v>359</v>
      </c>
      <c r="D1629" t="s">
        <v>73</v>
      </c>
      <c r="E1629" t="s">
        <v>77</v>
      </c>
      <c r="F1629">
        <v>7670</v>
      </c>
      <c r="H1629">
        <f t="shared" si="56"/>
        <v>1</v>
      </c>
      <c r="I1629">
        <f t="shared" si="57"/>
        <v>2022</v>
      </c>
    </row>
    <row r="1630" spans="1:9" x14ac:dyDescent="0.3">
      <c r="A1630" s="1">
        <v>44587</v>
      </c>
      <c r="B1630" t="s">
        <v>71</v>
      </c>
      <c r="G1630">
        <v>2950</v>
      </c>
      <c r="H1630">
        <f t="shared" si="56"/>
        <v>1</v>
      </c>
      <c r="I1630">
        <f t="shared" si="57"/>
        <v>2022</v>
      </c>
    </row>
    <row r="1631" spans="1:9" x14ac:dyDescent="0.3">
      <c r="A1631" s="1">
        <v>44587</v>
      </c>
      <c r="B1631" t="s">
        <v>71</v>
      </c>
      <c r="C1631" t="s">
        <v>359</v>
      </c>
      <c r="D1631" t="s">
        <v>25</v>
      </c>
      <c r="E1631" t="s">
        <v>77</v>
      </c>
      <c r="F1631">
        <v>2950</v>
      </c>
      <c r="H1631">
        <f t="shared" si="56"/>
        <v>1</v>
      </c>
      <c r="I1631">
        <f t="shared" si="57"/>
        <v>2022</v>
      </c>
    </row>
    <row r="1632" spans="1:9" x14ac:dyDescent="0.3">
      <c r="A1632" s="1">
        <v>44587</v>
      </c>
      <c r="B1632" t="s">
        <v>83</v>
      </c>
      <c r="G1632">
        <v>1770</v>
      </c>
      <c r="H1632">
        <f t="shared" si="56"/>
        <v>1</v>
      </c>
      <c r="I1632">
        <f t="shared" si="57"/>
        <v>2022</v>
      </c>
    </row>
    <row r="1633" spans="1:9" x14ac:dyDescent="0.3">
      <c r="A1633" s="1">
        <v>44587</v>
      </c>
      <c r="B1633" t="s">
        <v>83</v>
      </c>
      <c r="C1633" t="s">
        <v>359</v>
      </c>
      <c r="D1633" t="s">
        <v>23</v>
      </c>
      <c r="E1633" t="s">
        <v>77</v>
      </c>
      <c r="F1633">
        <v>1770</v>
      </c>
      <c r="H1633">
        <f t="shared" si="56"/>
        <v>1</v>
      </c>
      <c r="I1633">
        <f t="shared" si="57"/>
        <v>2022</v>
      </c>
    </row>
    <row r="1634" spans="1:9" x14ac:dyDescent="0.3">
      <c r="A1634" s="1">
        <v>44587</v>
      </c>
      <c r="B1634" t="s">
        <v>8</v>
      </c>
      <c r="G1634">
        <v>13570</v>
      </c>
      <c r="H1634">
        <f t="shared" si="56"/>
        <v>1</v>
      </c>
      <c r="I1634">
        <f t="shared" si="57"/>
        <v>2022</v>
      </c>
    </row>
    <row r="1635" spans="1:9" x14ac:dyDescent="0.3">
      <c r="A1635" s="1">
        <v>44587</v>
      </c>
      <c r="B1635" t="s">
        <v>8</v>
      </c>
      <c r="C1635" t="s">
        <v>359</v>
      </c>
      <c r="D1635" t="s">
        <v>375</v>
      </c>
      <c r="E1635" t="s">
        <v>77</v>
      </c>
      <c r="F1635">
        <v>13570</v>
      </c>
      <c r="H1635">
        <f t="shared" si="56"/>
        <v>1</v>
      </c>
      <c r="I1635">
        <f t="shared" si="57"/>
        <v>2022</v>
      </c>
    </row>
    <row r="1636" spans="1:9" x14ac:dyDescent="0.3">
      <c r="A1636" s="1">
        <v>44587</v>
      </c>
      <c r="B1636" t="s">
        <v>3</v>
      </c>
      <c r="G1636">
        <v>5450</v>
      </c>
      <c r="H1636">
        <f t="shared" si="56"/>
        <v>1</v>
      </c>
      <c r="I1636">
        <f t="shared" si="57"/>
        <v>2022</v>
      </c>
    </row>
    <row r="1637" spans="1:9" x14ac:dyDescent="0.3">
      <c r="A1637" s="1">
        <v>44587</v>
      </c>
      <c r="B1637" t="s">
        <v>3</v>
      </c>
      <c r="C1637" t="s">
        <v>33</v>
      </c>
      <c r="D1637" t="s">
        <v>37</v>
      </c>
      <c r="E1637" t="s">
        <v>164</v>
      </c>
      <c r="F1637">
        <v>5450</v>
      </c>
      <c r="H1637">
        <f t="shared" si="56"/>
        <v>1</v>
      </c>
      <c r="I1637">
        <f t="shared" si="57"/>
        <v>2022</v>
      </c>
    </row>
    <row r="1638" spans="1:9" x14ac:dyDescent="0.3">
      <c r="A1638" s="1">
        <v>44590</v>
      </c>
      <c r="B1638" t="s">
        <v>234</v>
      </c>
      <c r="G1638">
        <v>26655</v>
      </c>
      <c r="H1638">
        <f t="shared" si="56"/>
        <v>1</v>
      </c>
      <c r="I1638">
        <f t="shared" si="57"/>
        <v>2022</v>
      </c>
    </row>
    <row r="1639" spans="1:9" x14ac:dyDescent="0.3">
      <c r="A1639" s="1">
        <v>44590</v>
      </c>
      <c r="B1639" t="s">
        <v>234</v>
      </c>
      <c r="C1639" t="s">
        <v>94</v>
      </c>
      <c r="D1639" t="s">
        <v>244</v>
      </c>
      <c r="E1639" t="s">
        <v>186</v>
      </c>
      <c r="F1639">
        <v>5700</v>
      </c>
      <c r="H1639">
        <f t="shared" si="56"/>
        <v>1</v>
      </c>
      <c r="I1639">
        <f t="shared" si="57"/>
        <v>2022</v>
      </c>
    </row>
    <row r="1640" spans="1:9" x14ac:dyDescent="0.3">
      <c r="A1640" s="1">
        <v>44590</v>
      </c>
      <c r="B1640" t="s">
        <v>234</v>
      </c>
      <c r="C1640" t="s">
        <v>364</v>
      </c>
      <c r="D1640" t="s">
        <v>93</v>
      </c>
      <c r="E1640" t="s">
        <v>13</v>
      </c>
      <c r="F1640">
        <v>1380</v>
      </c>
      <c r="H1640">
        <f t="shared" si="56"/>
        <v>1</v>
      </c>
      <c r="I1640">
        <f t="shared" si="57"/>
        <v>2022</v>
      </c>
    </row>
    <row r="1641" spans="1:9" x14ac:dyDescent="0.3">
      <c r="A1641" s="1">
        <v>44590</v>
      </c>
      <c r="B1641" t="s">
        <v>234</v>
      </c>
      <c r="C1641" t="s">
        <v>325</v>
      </c>
      <c r="D1641" t="s">
        <v>93</v>
      </c>
      <c r="E1641" t="s">
        <v>13</v>
      </c>
      <c r="F1641">
        <v>1380</v>
      </c>
      <c r="H1641">
        <f t="shared" si="56"/>
        <v>1</v>
      </c>
      <c r="I1641">
        <f t="shared" si="57"/>
        <v>2022</v>
      </c>
    </row>
    <row r="1642" spans="1:9" x14ac:dyDescent="0.3">
      <c r="A1642" s="1">
        <v>44590</v>
      </c>
      <c r="B1642" t="s">
        <v>234</v>
      </c>
      <c r="C1642" t="s">
        <v>38</v>
      </c>
      <c r="D1642" t="s">
        <v>25</v>
      </c>
      <c r="E1642" t="s">
        <v>212</v>
      </c>
      <c r="F1642">
        <v>2075</v>
      </c>
      <c r="H1642">
        <f t="shared" si="56"/>
        <v>1</v>
      </c>
      <c r="I1642">
        <f t="shared" si="57"/>
        <v>2022</v>
      </c>
    </row>
    <row r="1643" spans="1:9" x14ac:dyDescent="0.3">
      <c r="A1643" s="1">
        <v>44590</v>
      </c>
      <c r="B1643" t="s">
        <v>234</v>
      </c>
      <c r="C1643" t="s">
        <v>359</v>
      </c>
      <c r="D1643" t="s">
        <v>59</v>
      </c>
      <c r="E1643" t="s">
        <v>77</v>
      </c>
      <c r="F1643">
        <v>4720</v>
      </c>
      <c r="H1643">
        <f t="shared" si="56"/>
        <v>1</v>
      </c>
      <c r="I1643">
        <f t="shared" si="57"/>
        <v>2022</v>
      </c>
    </row>
    <row r="1644" spans="1:9" x14ac:dyDescent="0.3">
      <c r="A1644" s="1">
        <v>44590</v>
      </c>
      <c r="B1644" t="s">
        <v>234</v>
      </c>
      <c r="C1644" t="s">
        <v>44</v>
      </c>
      <c r="D1644" t="s">
        <v>37</v>
      </c>
      <c r="E1644" t="s">
        <v>102</v>
      </c>
      <c r="F1644">
        <v>4800</v>
      </c>
      <c r="H1644">
        <f t="shared" si="56"/>
        <v>1</v>
      </c>
      <c r="I1644">
        <f t="shared" si="57"/>
        <v>2022</v>
      </c>
    </row>
    <row r="1645" spans="1:9" x14ac:dyDescent="0.3">
      <c r="A1645" s="1">
        <v>44590</v>
      </c>
      <c r="B1645" t="s">
        <v>234</v>
      </c>
      <c r="C1645" t="s">
        <v>40</v>
      </c>
      <c r="D1645" t="s">
        <v>9</v>
      </c>
      <c r="E1645" t="s">
        <v>104</v>
      </c>
      <c r="F1645">
        <v>6600</v>
      </c>
      <c r="H1645">
        <f t="shared" si="56"/>
        <v>1</v>
      </c>
      <c r="I1645">
        <f t="shared" si="57"/>
        <v>2022</v>
      </c>
    </row>
    <row r="1646" spans="1:9" x14ac:dyDescent="0.3">
      <c r="A1646" s="1">
        <v>44592</v>
      </c>
      <c r="B1646" t="s">
        <v>3</v>
      </c>
      <c r="G1646">
        <v>3500</v>
      </c>
      <c r="H1646">
        <f t="shared" ref="H1646:H1704" si="58">MONTH(A1646)</f>
        <v>1</v>
      </c>
      <c r="I1646">
        <f t="shared" ref="I1646:I1704" si="59">YEAR(A1646)</f>
        <v>2022</v>
      </c>
    </row>
    <row r="1647" spans="1:9" x14ac:dyDescent="0.3">
      <c r="A1647" s="1">
        <v>44592</v>
      </c>
      <c r="B1647" t="s">
        <v>3</v>
      </c>
      <c r="C1647" t="s">
        <v>364</v>
      </c>
      <c r="D1647" t="s">
        <v>93</v>
      </c>
      <c r="E1647" t="s">
        <v>13</v>
      </c>
      <c r="F1647">
        <v>1380</v>
      </c>
      <c r="H1647">
        <f t="shared" si="58"/>
        <v>1</v>
      </c>
      <c r="I1647">
        <f t="shared" si="59"/>
        <v>2022</v>
      </c>
    </row>
    <row r="1648" spans="1:9" x14ac:dyDescent="0.3">
      <c r="A1648" s="1">
        <v>44592</v>
      </c>
      <c r="B1648" t="s">
        <v>3</v>
      </c>
      <c r="C1648" t="s">
        <v>324</v>
      </c>
      <c r="D1648" t="s">
        <v>93</v>
      </c>
      <c r="E1648" t="s">
        <v>13</v>
      </c>
      <c r="F1648">
        <v>1380</v>
      </c>
      <c r="H1648">
        <f t="shared" si="58"/>
        <v>1</v>
      </c>
      <c r="I1648">
        <f t="shared" si="59"/>
        <v>2022</v>
      </c>
    </row>
    <row r="1649" spans="1:9" x14ac:dyDescent="0.3">
      <c r="A1649" s="1">
        <v>44592</v>
      </c>
      <c r="B1649" t="s">
        <v>3</v>
      </c>
      <c r="C1649" t="s">
        <v>148</v>
      </c>
      <c r="D1649" t="s">
        <v>93</v>
      </c>
      <c r="E1649" t="s">
        <v>149</v>
      </c>
      <c r="F1649">
        <v>740</v>
      </c>
      <c r="H1649">
        <f t="shared" si="58"/>
        <v>1</v>
      </c>
      <c r="I1649">
        <f t="shared" si="59"/>
        <v>2022</v>
      </c>
    </row>
    <row r="1650" spans="1:9" x14ac:dyDescent="0.3">
      <c r="A1650" s="1">
        <v>44593</v>
      </c>
      <c r="B1650" t="s">
        <v>220</v>
      </c>
      <c r="G1650">
        <v>1697</v>
      </c>
      <c r="H1650">
        <f t="shared" si="58"/>
        <v>2</v>
      </c>
      <c r="I1650">
        <f t="shared" si="59"/>
        <v>2022</v>
      </c>
    </row>
    <row r="1651" spans="1:9" x14ac:dyDescent="0.3">
      <c r="A1651" s="1">
        <v>44593</v>
      </c>
      <c r="B1651" t="s">
        <v>220</v>
      </c>
      <c r="C1651" t="s">
        <v>22</v>
      </c>
      <c r="D1651" t="s">
        <v>93</v>
      </c>
      <c r="E1651" t="s">
        <v>302</v>
      </c>
      <c r="F1651">
        <v>1110</v>
      </c>
      <c r="H1651">
        <f t="shared" si="58"/>
        <v>2</v>
      </c>
      <c r="I1651">
        <f t="shared" si="59"/>
        <v>2022</v>
      </c>
    </row>
    <row r="1652" spans="1:9" x14ac:dyDescent="0.3">
      <c r="A1652" s="1">
        <v>44593</v>
      </c>
      <c r="B1652" t="s">
        <v>220</v>
      </c>
      <c r="C1652" t="s">
        <v>173</v>
      </c>
      <c r="D1652" t="s">
        <v>25</v>
      </c>
      <c r="E1652" t="s">
        <v>376</v>
      </c>
      <c r="F1652">
        <v>587</v>
      </c>
      <c r="H1652">
        <f t="shared" si="58"/>
        <v>2</v>
      </c>
      <c r="I1652">
        <f t="shared" si="59"/>
        <v>2022</v>
      </c>
    </row>
    <row r="1653" spans="1:9" x14ac:dyDescent="0.3">
      <c r="A1653" s="1">
        <v>44593</v>
      </c>
      <c r="B1653" t="s">
        <v>3</v>
      </c>
      <c r="G1653">
        <v>3600</v>
      </c>
      <c r="H1653">
        <f t="shared" si="58"/>
        <v>2</v>
      </c>
      <c r="I1653">
        <f t="shared" si="59"/>
        <v>2022</v>
      </c>
    </row>
    <row r="1654" spans="1:9" x14ac:dyDescent="0.3">
      <c r="A1654" s="1">
        <v>44593</v>
      </c>
      <c r="B1654" t="s">
        <v>3</v>
      </c>
      <c r="C1654" t="s">
        <v>22</v>
      </c>
      <c r="D1654" t="s">
        <v>37</v>
      </c>
      <c r="E1654" t="s">
        <v>377</v>
      </c>
      <c r="F1654">
        <v>2770</v>
      </c>
      <c r="H1654">
        <f t="shared" si="58"/>
        <v>2</v>
      </c>
      <c r="I1654">
        <f t="shared" si="59"/>
        <v>2022</v>
      </c>
    </row>
    <row r="1655" spans="1:9" x14ac:dyDescent="0.3">
      <c r="A1655" s="1">
        <v>44593</v>
      </c>
      <c r="B1655" t="s">
        <v>3</v>
      </c>
      <c r="C1655" t="s">
        <v>211</v>
      </c>
      <c r="D1655" t="s">
        <v>12</v>
      </c>
      <c r="E1655" t="s">
        <v>212</v>
      </c>
      <c r="F1655">
        <v>830</v>
      </c>
      <c r="H1655">
        <f t="shared" si="58"/>
        <v>2</v>
      </c>
      <c r="I1655">
        <f t="shared" si="59"/>
        <v>2022</v>
      </c>
    </row>
    <row r="1656" spans="1:9" x14ac:dyDescent="0.3">
      <c r="A1656" s="1">
        <v>44593</v>
      </c>
      <c r="B1656" t="s">
        <v>378</v>
      </c>
      <c r="G1656">
        <v>5928</v>
      </c>
      <c r="H1656">
        <f t="shared" si="58"/>
        <v>2</v>
      </c>
      <c r="I1656">
        <f t="shared" si="59"/>
        <v>2022</v>
      </c>
    </row>
    <row r="1657" spans="1:9" x14ac:dyDescent="0.3">
      <c r="A1657" s="1">
        <v>44593</v>
      </c>
      <c r="B1657" t="s">
        <v>378</v>
      </c>
      <c r="C1657" t="s">
        <v>338</v>
      </c>
      <c r="D1657" t="s">
        <v>18</v>
      </c>
      <c r="E1657" t="s">
        <v>81</v>
      </c>
      <c r="F1657">
        <v>3090</v>
      </c>
      <c r="H1657">
        <f t="shared" si="58"/>
        <v>2</v>
      </c>
      <c r="I1657">
        <f t="shared" si="59"/>
        <v>2022</v>
      </c>
    </row>
    <row r="1658" spans="1:9" x14ac:dyDescent="0.3">
      <c r="A1658" s="1">
        <v>44593</v>
      </c>
      <c r="B1658" t="s">
        <v>378</v>
      </c>
      <c r="C1658" t="s">
        <v>22</v>
      </c>
      <c r="D1658" t="s">
        <v>18</v>
      </c>
      <c r="E1658" t="s">
        <v>302</v>
      </c>
      <c r="F1658">
        <v>1665</v>
      </c>
      <c r="H1658">
        <f t="shared" si="58"/>
        <v>2</v>
      </c>
      <c r="I1658">
        <f t="shared" si="59"/>
        <v>2022</v>
      </c>
    </row>
    <row r="1659" spans="1:9" x14ac:dyDescent="0.3">
      <c r="A1659" s="1">
        <v>44593</v>
      </c>
      <c r="B1659" t="s">
        <v>378</v>
      </c>
      <c r="C1659" t="s">
        <v>173</v>
      </c>
      <c r="D1659" t="s">
        <v>37</v>
      </c>
      <c r="E1659" t="s">
        <v>379</v>
      </c>
      <c r="F1659">
        <v>1173</v>
      </c>
      <c r="H1659">
        <f t="shared" si="58"/>
        <v>2</v>
      </c>
      <c r="I1659">
        <f t="shared" si="59"/>
        <v>2022</v>
      </c>
    </row>
    <row r="1660" spans="1:9" x14ac:dyDescent="0.3">
      <c r="A1660" s="1">
        <v>44595</v>
      </c>
      <c r="B1660" t="s">
        <v>83</v>
      </c>
      <c r="G1660">
        <v>11280</v>
      </c>
      <c r="H1660">
        <f t="shared" si="58"/>
        <v>2</v>
      </c>
      <c r="I1660">
        <f t="shared" si="59"/>
        <v>2022</v>
      </c>
    </row>
    <row r="1661" spans="1:9" x14ac:dyDescent="0.3">
      <c r="A1661" s="1">
        <v>44595</v>
      </c>
      <c r="B1661" t="s">
        <v>83</v>
      </c>
      <c r="C1661" t="s">
        <v>40</v>
      </c>
      <c r="D1661" t="s">
        <v>39</v>
      </c>
      <c r="E1661" t="s">
        <v>104</v>
      </c>
      <c r="F1661">
        <v>9900</v>
      </c>
      <c r="H1661">
        <f t="shared" si="58"/>
        <v>2</v>
      </c>
      <c r="I1661">
        <f t="shared" si="59"/>
        <v>2022</v>
      </c>
    </row>
    <row r="1662" spans="1:9" x14ac:dyDescent="0.3">
      <c r="A1662" s="1">
        <v>44595</v>
      </c>
      <c r="B1662" t="s">
        <v>83</v>
      </c>
      <c r="C1662" t="s">
        <v>325</v>
      </c>
      <c r="D1662" t="s">
        <v>93</v>
      </c>
      <c r="E1662" t="s">
        <v>13</v>
      </c>
      <c r="F1662">
        <v>1380</v>
      </c>
      <c r="H1662">
        <f t="shared" si="58"/>
        <v>2</v>
      </c>
      <c r="I1662">
        <f t="shared" si="59"/>
        <v>2022</v>
      </c>
    </row>
    <row r="1663" spans="1:9" x14ac:dyDescent="0.3">
      <c r="A1663" s="1">
        <v>44595</v>
      </c>
      <c r="B1663" t="s">
        <v>82</v>
      </c>
      <c r="G1663">
        <v>6490</v>
      </c>
      <c r="H1663">
        <f t="shared" si="58"/>
        <v>2</v>
      </c>
      <c r="I1663">
        <f t="shared" si="59"/>
        <v>2022</v>
      </c>
    </row>
    <row r="1664" spans="1:9" x14ac:dyDescent="0.3">
      <c r="A1664" s="1">
        <v>44595</v>
      </c>
      <c r="B1664" t="s">
        <v>82</v>
      </c>
      <c r="C1664" t="s">
        <v>359</v>
      </c>
      <c r="D1664" t="s">
        <v>66</v>
      </c>
      <c r="E1664" t="s">
        <v>77</v>
      </c>
      <c r="F1664">
        <v>6490</v>
      </c>
      <c r="H1664">
        <f t="shared" si="58"/>
        <v>2</v>
      </c>
      <c r="I1664">
        <f t="shared" si="59"/>
        <v>2022</v>
      </c>
    </row>
    <row r="1665" spans="1:9" x14ac:dyDescent="0.3">
      <c r="A1665" s="1">
        <v>44595</v>
      </c>
      <c r="B1665" t="s">
        <v>380</v>
      </c>
      <c r="G1665">
        <v>10700</v>
      </c>
      <c r="H1665">
        <f t="shared" si="58"/>
        <v>2</v>
      </c>
      <c r="I1665">
        <f t="shared" si="59"/>
        <v>2022</v>
      </c>
    </row>
    <row r="1666" spans="1:9" x14ac:dyDescent="0.3">
      <c r="A1666" s="1">
        <v>44595</v>
      </c>
      <c r="B1666" t="s">
        <v>380</v>
      </c>
      <c r="C1666" t="s">
        <v>98</v>
      </c>
      <c r="D1666" t="s">
        <v>9</v>
      </c>
      <c r="E1666" t="s">
        <v>14</v>
      </c>
      <c r="F1666">
        <v>10700</v>
      </c>
      <c r="H1666">
        <f t="shared" si="58"/>
        <v>2</v>
      </c>
      <c r="I1666">
        <f t="shared" si="59"/>
        <v>2022</v>
      </c>
    </row>
    <row r="1667" spans="1:9" x14ac:dyDescent="0.3">
      <c r="A1667" s="1">
        <v>44595</v>
      </c>
      <c r="B1667" t="s">
        <v>234</v>
      </c>
      <c r="G1667">
        <v>10725</v>
      </c>
      <c r="H1667">
        <f t="shared" si="58"/>
        <v>2</v>
      </c>
      <c r="I1667">
        <f t="shared" si="59"/>
        <v>2022</v>
      </c>
    </row>
    <row r="1668" spans="1:9" x14ac:dyDescent="0.3">
      <c r="A1668" s="1">
        <v>44595</v>
      </c>
      <c r="B1668" t="s">
        <v>234</v>
      </c>
      <c r="C1668" t="s">
        <v>98</v>
      </c>
      <c r="D1668" t="s">
        <v>61</v>
      </c>
      <c r="E1668" t="s">
        <v>14</v>
      </c>
      <c r="F1668">
        <v>8025</v>
      </c>
      <c r="H1668">
        <f t="shared" si="58"/>
        <v>2</v>
      </c>
      <c r="I1668">
        <f t="shared" si="59"/>
        <v>2022</v>
      </c>
    </row>
    <row r="1669" spans="1:9" x14ac:dyDescent="0.3">
      <c r="A1669" s="1">
        <v>44595</v>
      </c>
      <c r="B1669" t="s">
        <v>234</v>
      </c>
      <c r="C1669" t="s">
        <v>108</v>
      </c>
      <c r="D1669" t="s">
        <v>12</v>
      </c>
      <c r="E1669" t="s">
        <v>99</v>
      </c>
      <c r="F1669">
        <v>1080</v>
      </c>
      <c r="H1669">
        <f t="shared" si="58"/>
        <v>2</v>
      </c>
      <c r="I1669">
        <f t="shared" si="59"/>
        <v>2022</v>
      </c>
    </row>
    <row r="1670" spans="1:9" x14ac:dyDescent="0.3">
      <c r="A1670" s="1">
        <v>44595</v>
      </c>
      <c r="B1670" t="s">
        <v>234</v>
      </c>
      <c r="C1670" t="s">
        <v>134</v>
      </c>
      <c r="D1670" t="s">
        <v>12</v>
      </c>
      <c r="E1670" t="s">
        <v>99</v>
      </c>
      <c r="F1670">
        <v>1080</v>
      </c>
      <c r="H1670">
        <f t="shared" si="58"/>
        <v>2</v>
      </c>
      <c r="I1670">
        <f t="shared" si="59"/>
        <v>2022</v>
      </c>
    </row>
    <row r="1671" spans="1:9" x14ac:dyDescent="0.3">
      <c r="A1671" s="1">
        <v>44595</v>
      </c>
      <c r="B1671" t="s">
        <v>234</v>
      </c>
      <c r="C1671" t="s">
        <v>133</v>
      </c>
      <c r="D1671" t="s">
        <v>5</v>
      </c>
      <c r="E1671" t="s">
        <v>99</v>
      </c>
      <c r="F1671">
        <v>540</v>
      </c>
      <c r="H1671">
        <f t="shared" si="58"/>
        <v>2</v>
      </c>
      <c r="I1671">
        <f t="shared" si="59"/>
        <v>2022</v>
      </c>
    </row>
    <row r="1672" spans="1:9" x14ac:dyDescent="0.3">
      <c r="A1672" s="1">
        <v>44595</v>
      </c>
      <c r="B1672" t="s">
        <v>85</v>
      </c>
      <c r="G1672">
        <v>3270</v>
      </c>
      <c r="H1672">
        <f t="shared" si="58"/>
        <v>2</v>
      </c>
      <c r="I1672">
        <f t="shared" si="59"/>
        <v>2022</v>
      </c>
    </row>
    <row r="1673" spans="1:9" x14ac:dyDescent="0.3">
      <c r="A1673" s="1">
        <v>44595</v>
      </c>
      <c r="B1673" t="s">
        <v>85</v>
      </c>
      <c r="C1673" t="s">
        <v>33</v>
      </c>
      <c r="D1673" t="s">
        <v>18</v>
      </c>
      <c r="E1673" t="s">
        <v>164</v>
      </c>
      <c r="F1673">
        <v>3270</v>
      </c>
      <c r="H1673">
        <f t="shared" si="58"/>
        <v>2</v>
      </c>
      <c r="I1673">
        <f t="shared" si="59"/>
        <v>2022</v>
      </c>
    </row>
    <row r="1674" spans="1:9" x14ac:dyDescent="0.3">
      <c r="A1674" s="1">
        <v>44602</v>
      </c>
      <c r="B1674" t="s">
        <v>195</v>
      </c>
      <c r="G1674">
        <v>3438</v>
      </c>
      <c r="H1674">
        <f t="shared" si="58"/>
        <v>2</v>
      </c>
      <c r="I1674">
        <f t="shared" si="59"/>
        <v>2022</v>
      </c>
    </row>
    <row r="1675" spans="1:9" x14ac:dyDescent="0.3">
      <c r="A1675" s="1">
        <v>44602</v>
      </c>
      <c r="B1675" t="s">
        <v>195</v>
      </c>
      <c r="C1675" t="s">
        <v>22</v>
      </c>
      <c r="D1675" t="s">
        <v>18</v>
      </c>
      <c r="E1675" t="s">
        <v>210</v>
      </c>
      <c r="F1675">
        <v>1668</v>
      </c>
      <c r="H1675">
        <f t="shared" si="58"/>
        <v>2</v>
      </c>
      <c r="I1675">
        <f t="shared" si="59"/>
        <v>2022</v>
      </c>
    </row>
    <row r="1676" spans="1:9" x14ac:dyDescent="0.3">
      <c r="A1676" s="1">
        <v>44602</v>
      </c>
      <c r="B1676" t="s">
        <v>195</v>
      </c>
      <c r="C1676" t="s">
        <v>173</v>
      </c>
      <c r="D1676" t="s">
        <v>61</v>
      </c>
      <c r="E1676" t="s">
        <v>357</v>
      </c>
      <c r="F1676">
        <v>1770</v>
      </c>
      <c r="H1676">
        <f t="shared" si="58"/>
        <v>2</v>
      </c>
      <c r="I1676">
        <f t="shared" si="59"/>
        <v>2022</v>
      </c>
    </row>
    <row r="1677" spans="1:9" x14ac:dyDescent="0.3">
      <c r="A1677" s="1">
        <v>44602</v>
      </c>
      <c r="B1677" t="s">
        <v>75</v>
      </c>
      <c r="G1677">
        <v>13370</v>
      </c>
      <c r="H1677">
        <f t="shared" si="58"/>
        <v>2</v>
      </c>
      <c r="I1677">
        <f t="shared" si="59"/>
        <v>2022</v>
      </c>
    </row>
    <row r="1678" spans="1:9" x14ac:dyDescent="0.3">
      <c r="A1678" s="1">
        <v>44602</v>
      </c>
      <c r="B1678" t="s">
        <v>75</v>
      </c>
      <c r="C1678" t="s">
        <v>33</v>
      </c>
      <c r="D1678" t="s">
        <v>37</v>
      </c>
      <c r="E1678" t="s">
        <v>164</v>
      </c>
      <c r="F1678">
        <v>5450</v>
      </c>
      <c r="H1678">
        <f t="shared" si="58"/>
        <v>2</v>
      </c>
      <c r="I1678">
        <f t="shared" si="59"/>
        <v>2022</v>
      </c>
    </row>
    <row r="1679" spans="1:9" x14ac:dyDescent="0.3">
      <c r="A1679" s="1">
        <v>44602</v>
      </c>
      <c r="B1679" t="s">
        <v>75</v>
      </c>
      <c r="C1679" t="s">
        <v>22</v>
      </c>
      <c r="D1679" t="s">
        <v>9</v>
      </c>
      <c r="E1679" t="s">
        <v>210</v>
      </c>
      <c r="F1679">
        <v>5560</v>
      </c>
      <c r="H1679">
        <f t="shared" si="58"/>
        <v>2</v>
      </c>
      <c r="I1679">
        <f t="shared" si="59"/>
        <v>2022</v>
      </c>
    </row>
    <row r="1680" spans="1:9" x14ac:dyDescent="0.3">
      <c r="A1680" s="1">
        <v>44602</v>
      </c>
      <c r="B1680" t="s">
        <v>75</v>
      </c>
      <c r="C1680" t="s">
        <v>173</v>
      </c>
      <c r="D1680" t="s">
        <v>9</v>
      </c>
      <c r="E1680" t="s">
        <v>357</v>
      </c>
      <c r="F1680">
        <v>2360</v>
      </c>
      <c r="H1680">
        <f t="shared" si="58"/>
        <v>2</v>
      </c>
      <c r="I1680">
        <f t="shared" si="59"/>
        <v>2022</v>
      </c>
    </row>
    <row r="1681" spans="1:9" x14ac:dyDescent="0.3">
      <c r="A1681" s="1">
        <v>44602</v>
      </c>
      <c r="B1681" t="s">
        <v>32</v>
      </c>
      <c r="G1681">
        <v>6050</v>
      </c>
      <c r="H1681">
        <f t="shared" si="58"/>
        <v>2</v>
      </c>
      <c r="I1681">
        <f t="shared" si="59"/>
        <v>2022</v>
      </c>
    </row>
    <row r="1682" spans="1:9" x14ac:dyDescent="0.3">
      <c r="A1682" s="1">
        <v>44602</v>
      </c>
      <c r="B1682" t="s">
        <v>32</v>
      </c>
      <c r="C1682" t="s">
        <v>33</v>
      </c>
      <c r="D1682" t="s">
        <v>18</v>
      </c>
      <c r="E1682" t="s">
        <v>164</v>
      </c>
      <c r="F1682">
        <v>3270</v>
      </c>
      <c r="H1682">
        <f t="shared" si="58"/>
        <v>2</v>
      </c>
      <c r="I1682">
        <f t="shared" si="59"/>
        <v>2022</v>
      </c>
    </row>
    <row r="1683" spans="1:9" x14ac:dyDescent="0.3">
      <c r="A1683" s="1">
        <v>44602</v>
      </c>
      <c r="B1683" t="s">
        <v>32</v>
      </c>
      <c r="C1683" t="s">
        <v>22</v>
      </c>
      <c r="D1683" t="s">
        <v>37</v>
      </c>
      <c r="E1683" t="s">
        <v>210</v>
      </c>
      <c r="F1683">
        <v>2780</v>
      </c>
      <c r="H1683">
        <f t="shared" si="58"/>
        <v>2</v>
      </c>
      <c r="I1683">
        <f t="shared" si="59"/>
        <v>2022</v>
      </c>
    </row>
    <row r="1684" spans="1:9" x14ac:dyDescent="0.3">
      <c r="A1684" s="1">
        <v>44602</v>
      </c>
      <c r="B1684" t="s">
        <v>130</v>
      </c>
      <c r="G1684">
        <v>940</v>
      </c>
      <c r="H1684">
        <f t="shared" si="58"/>
        <v>2</v>
      </c>
      <c r="I1684">
        <f t="shared" si="59"/>
        <v>2022</v>
      </c>
    </row>
    <row r="1685" spans="1:9" x14ac:dyDescent="0.3">
      <c r="A1685" s="1">
        <v>44602</v>
      </c>
      <c r="B1685" t="s">
        <v>130</v>
      </c>
      <c r="C1685" t="s">
        <v>98</v>
      </c>
      <c r="D1685" t="s">
        <v>5</v>
      </c>
      <c r="E1685" t="s">
        <v>69</v>
      </c>
      <c r="F1685">
        <v>550</v>
      </c>
      <c r="H1685">
        <f t="shared" si="58"/>
        <v>2</v>
      </c>
      <c r="I1685">
        <f t="shared" si="59"/>
        <v>2022</v>
      </c>
    </row>
    <row r="1686" spans="1:9" x14ac:dyDescent="0.3">
      <c r="A1686" s="1">
        <v>44602</v>
      </c>
      <c r="B1686" t="s">
        <v>130</v>
      </c>
      <c r="C1686" t="s">
        <v>94</v>
      </c>
      <c r="D1686" t="s">
        <v>137</v>
      </c>
      <c r="E1686" t="s">
        <v>263</v>
      </c>
      <c r="F1686">
        <v>390</v>
      </c>
      <c r="H1686">
        <f t="shared" si="58"/>
        <v>2</v>
      </c>
      <c r="I1686">
        <f t="shared" si="59"/>
        <v>2022</v>
      </c>
    </row>
    <row r="1687" spans="1:9" x14ac:dyDescent="0.3">
      <c r="A1687" s="1">
        <v>44602</v>
      </c>
      <c r="B1687" t="s">
        <v>130</v>
      </c>
      <c r="G1687">
        <v>2440</v>
      </c>
      <c r="H1687">
        <f t="shared" si="58"/>
        <v>2</v>
      </c>
      <c r="I1687">
        <f t="shared" si="59"/>
        <v>2022</v>
      </c>
    </row>
    <row r="1688" spans="1:9" x14ac:dyDescent="0.3">
      <c r="A1688" s="1">
        <v>44602</v>
      </c>
      <c r="B1688" t="s">
        <v>130</v>
      </c>
      <c r="C1688" t="s">
        <v>134</v>
      </c>
      <c r="D1688" t="s">
        <v>5</v>
      </c>
      <c r="E1688" t="s">
        <v>69</v>
      </c>
      <c r="F1688">
        <v>550</v>
      </c>
      <c r="H1688">
        <f t="shared" si="58"/>
        <v>2</v>
      </c>
      <c r="I1688">
        <f t="shared" si="59"/>
        <v>2022</v>
      </c>
    </row>
    <row r="1689" spans="1:9" x14ac:dyDescent="0.3">
      <c r="A1689" s="1">
        <v>44602</v>
      </c>
      <c r="B1689" t="s">
        <v>130</v>
      </c>
      <c r="C1689" t="s">
        <v>381</v>
      </c>
      <c r="D1689" t="s">
        <v>18</v>
      </c>
      <c r="E1689" t="s">
        <v>382</v>
      </c>
      <c r="F1689">
        <v>570</v>
      </c>
      <c r="H1689">
        <f t="shared" si="58"/>
        <v>2</v>
      </c>
      <c r="I1689">
        <f t="shared" si="59"/>
        <v>2022</v>
      </c>
    </row>
    <row r="1690" spans="1:9" x14ac:dyDescent="0.3">
      <c r="A1690" s="1">
        <v>44602</v>
      </c>
      <c r="B1690" t="s">
        <v>130</v>
      </c>
      <c r="C1690" t="s">
        <v>383</v>
      </c>
      <c r="D1690" t="s">
        <v>18</v>
      </c>
      <c r="E1690" t="s">
        <v>382</v>
      </c>
      <c r="F1690">
        <v>570</v>
      </c>
      <c r="H1690">
        <f t="shared" si="58"/>
        <v>2</v>
      </c>
      <c r="I1690">
        <f t="shared" si="59"/>
        <v>2022</v>
      </c>
    </row>
    <row r="1691" spans="1:9" x14ac:dyDescent="0.3">
      <c r="A1691" s="1">
        <v>44602</v>
      </c>
      <c r="B1691" t="s">
        <v>130</v>
      </c>
      <c r="C1691" t="s">
        <v>112</v>
      </c>
      <c r="D1691" t="s">
        <v>5</v>
      </c>
      <c r="E1691" t="s">
        <v>205</v>
      </c>
      <c r="F1691">
        <v>750</v>
      </c>
      <c r="H1691">
        <f t="shared" si="58"/>
        <v>2</v>
      </c>
      <c r="I1691">
        <f t="shared" si="59"/>
        <v>2022</v>
      </c>
    </row>
    <row r="1692" spans="1:9" x14ac:dyDescent="0.3">
      <c r="A1692" s="1">
        <v>44602</v>
      </c>
      <c r="B1692" t="s">
        <v>130</v>
      </c>
      <c r="G1692">
        <v>1460</v>
      </c>
      <c r="H1692">
        <f t="shared" si="58"/>
        <v>2</v>
      </c>
      <c r="I1692">
        <f t="shared" si="59"/>
        <v>2022</v>
      </c>
    </row>
    <row r="1693" spans="1:9" x14ac:dyDescent="0.3">
      <c r="A1693" s="1">
        <v>44602</v>
      </c>
      <c r="B1693" t="s">
        <v>130</v>
      </c>
      <c r="C1693" t="s">
        <v>40</v>
      </c>
      <c r="D1693" t="s">
        <v>5</v>
      </c>
      <c r="E1693" t="s">
        <v>117</v>
      </c>
      <c r="F1693">
        <v>335</v>
      </c>
      <c r="H1693">
        <f t="shared" si="58"/>
        <v>2</v>
      </c>
      <c r="I1693">
        <f t="shared" si="59"/>
        <v>2022</v>
      </c>
    </row>
    <row r="1694" spans="1:9" x14ac:dyDescent="0.3">
      <c r="A1694" s="1">
        <v>44602</v>
      </c>
      <c r="B1694" t="s">
        <v>130</v>
      </c>
      <c r="C1694" t="s">
        <v>101</v>
      </c>
      <c r="D1694" t="s">
        <v>5</v>
      </c>
      <c r="E1694" t="s">
        <v>31</v>
      </c>
      <c r="F1694">
        <v>520</v>
      </c>
      <c r="H1694">
        <f t="shared" si="58"/>
        <v>2</v>
      </c>
      <c r="I1694">
        <f t="shared" si="59"/>
        <v>2022</v>
      </c>
    </row>
    <row r="1695" spans="1:9" x14ac:dyDescent="0.3">
      <c r="A1695" s="1">
        <v>44602</v>
      </c>
      <c r="B1695" t="s">
        <v>130</v>
      </c>
      <c r="C1695" t="s">
        <v>38</v>
      </c>
      <c r="D1695" t="s">
        <v>5</v>
      </c>
      <c r="E1695" t="s">
        <v>212</v>
      </c>
      <c r="F1695">
        <v>415</v>
      </c>
      <c r="H1695">
        <f t="shared" si="58"/>
        <v>2</v>
      </c>
      <c r="I1695">
        <f t="shared" si="59"/>
        <v>2022</v>
      </c>
    </row>
    <row r="1696" spans="1:9" x14ac:dyDescent="0.3">
      <c r="A1696" s="1">
        <v>44602</v>
      </c>
      <c r="B1696" t="s">
        <v>130</v>
      </c>
      <c r="C1696" t="s">
        <v>148</v>
      </c>
      <c r="D1696" t="s">
        <v>5</v>
      </c>
      <c r="E1696" t="s">
        <v>182</v>
      </c>
      <c r="F1696">
        <v>190</v>
      </c>
      <c r="H1696">
        <f t="shared" si="58"/>
        <v>2</v>
      </c>
      <c r="I1696">
        <f t="shared" si="59"/>
        <v>2022</v>
      </c>
    </row>
    <row r="1697" spans="1:9" x14ac:dyDescent="0.3">
      <c r="A1697" s="1">
        <v>44602</v>
      </c>
      <c r="B1697" t="s">
        <v>130</v>
      </c>
      <c r="G1697">
        <v>16245</v>
      </c>
      <c r="H1697">
        <f t="shared" si="58"/>
        <v>2</v>
      </c>
      <c r="I1697">
        <f t="shared" si="59"/>
        <v>2022</v>
      </c>
    </row>
    <row r="1698" spans="1:9" x14ac:dyDescent="0.3">
      <c r="A1698" s="1">
        <v>44602</v>
      </c>
      <c r="B1698" t="s">
        <v>130</v>
      </c>
      <c r="C1698" t="s">
        <v>40</v>
      </c>
      <c r="D1698" t="s">
        <v>37</v>
      </c>
      <c r="E1698" t="s">
        <v>104</v>
      </c>
      <c r="F1698">
        <v>3300</v>
      </c>
      <c r="H1698">
        <f t="shared" si="58"/>
        <v>2</v>
      </c>
      <c r="I1698">
        <f t="shared" si="59"/>
        <v>2022</v>
      </c>
    </row>
    <row r="1699" spans="1:9" x14ac:dyDescent="0.3">
      <c r="A1699" s="1">
        <v>44602</v>
      </c>
      <c r="B1699" t="s">
        <v>130</v>
      </c>
      <c r="C1699" t="s">
        <v>364</v>
      </c>
      <c r="D1699" t="s">
        <v>93</v>
      </c>
      <c r="E1699" t="s">
        <v>100</v>
      </c>
      <c r="F1699">
        <v>1400</v>
      </c>
      <c r="H1699">
        <f t="shared" si="58"/>
        <v>2</v>
      </c>
      <c r="I1699">
        <f t="shared" si="59"/>
        <v>2022</v>
      </c>
    </row>
    <row r="1700" spans="1:9" x14ac:dyDescent="0.3">
      <c r="A1700" s="1">
        <v>44602</v>
      </c>
      <c r="B1700" t="s">
        <v>130</v>
      </c>
      <c r="C1700" t="s">
        <v>98</v>
      </c>
      <c r="D1700" t="s">
        <v>25</v>
      </c>
      <c r="E1700" t="s">
        <v>14</v>
      </c>
      <c r="F1700">
        <v>2675</v>
      </c>
      <c r="H1700">
        <f t="shared" si="58"/>
        <v>2</v>
      </c>
      <c r="I1700">
        <f t="shared" si="59"/>
        <v>2022</v>
      </c>
    </row>
    <row r="1701" spans="1:9" x14ac:dyDescent="0.3">
      <c r="A1701" s="1">
        <v>44602</v>
      </c>
      <c r="B1701" t="s">
        <v>130</v>
      </c>
      <c r="C1701" t="s">
        <v>108</v>
      </c>
      <c r="D1701" t="s">
        <v>25</v>
      </c>
      <c r="E1701" t="s">
        <v>99</v>
      </c>
      <c r="F1701">
        <v>2700</v>
      </c>
      <c r="H1701">
        <f t="shared" si="58"/>
        <v>2</v>
      </c>
      <c r="I1701">
        <f t="shared" si="59"/>
        <v>2022</v>
      </c>
    </row>
    <row r="1702" spans="1:9" x14ac:dyDescent="0.3">
      <c r="A1702" s="1">
        <v>44602</v>
      </c>
      <c r="B1702" t="s">
        <v>130</v>
      </c>
      <c r="C1702" t="s">
        <v>133</v>
      </c>
      <c r="D1702" t="s">
        <v>23</v>
      </c>
      <c r="E1702" t="s">
        <v>99</v>
      </c>
      <c r="F1702">
        <v>1620</v>
      </c>
      <c r="H1702">
        <f t="shared" si="58"/>
        <v>2</v>
      </c>
      <c r="I1702">
        <f t="shared" si="59"/>
        <v>2022</v>
      </c>
    </row>
    <row r="1703" spans="1:9" x14ac:dyDescent="0.3">
      <c r="A1703" s="1">
        <v>44602</v>
      </c>
      <c r="B1703" t="s">
        <v>130</v>
      </c>
      <c r="C1703" t="s">
        <v>134</v>
      </c>
      <c r="D1703" t="s">
        <v>12</v>
      </c>
      <c r="E1703" t="s">
        <v>99</v>
      </c>
      <c r="F1703">
        <v>1080</v>
      </c>
      <c r="H1703">
        <f t="shared" si="58"/>
        <v>2</v>
      </c>
      <c r="I1703">
        <f t="shared" si="59"/>
        <v>2022</v>
      </c>
    </row>
    <row r="1704" spans="1:9" x14ac:dyDescent="0.3">
      <c r="A1704" s="1">
        <v>44602</v>
      </c>
      <c r="B1704" t="s">
        <v>130</v>
      </c>
      <c r="C1704" t="s">
        <v>44</v>
      </c>
      <c r="D1704" t="s">
        <v>5</v>
      </c>
      <c r="E1704" t="s">
        <v>145</v>
      </c>
      <c r="F1704">
        <v>470</v>
      </c>
      <c r="H1704">
        <f t="shared" si="58"/>
        <v>2</v>
      </c>
      <c r="I1704">
        <f t="shared" si="59"/>
        <v>2022</v>
      </c>
    </row>
    <row r="1705" spans="1:9" x14ac:dyDescent="0.3">
      <c r="A1705" s="1">
        <v>44602</v>
      </c>
      <c r="B1705" t="s">
        <v>130</v>
      </c>
      <c r="C1705" t="s">
        <v>42</v>
      </c>
      <c r="D1705" t="s">
        <v>5</v>
      </c>
      <c r="E1705" t="s">
        <v>103</v>
      </c>
      <c r="F1705">
        <v>400</v>
      </c>
      <c r="H1705">
        <f t="shared" ref="H1705:H1765" si="60">MONTH(A1705)</f>
        <v>2</v>
      </c>
      <c r="I1705">
        <f t="shared" ref="I1705:I1765" si="61">YEAR(A1705)</f>
        <v>2022</v>
      </c>
    </row>
    <row r="1706" spans="1:9" x14ac:dyDescent="0.3">
      <c r="A1706" s="1">
        <v>44602</v>
      </c>
      <c r="B1706" t="s">
        <v>130</v>
      </c>
      <c r="C1706" t="s">
        <v>142</v>
      </c>
      <c r="D1706" t="s">
        <v>12</v>
      </c>
      <c r="E1706" t="s">
        <v>31</v>
      </c>
      <c r="F1706">
        <v>1040</v>
      </c>
      <c r="H1706">
        <f t="shared" si="60"/>
        <v>2</v>
      </c>
      <c r="I1706">
        <f t="shared" si="61"/>
        <v>2022</v>
      </c>
    </row>
    <row r="1707" spans="1:9" x14ac:dyDescent="0.3">
      <c r="A1707" s="1">
        <v>44602</v>
      </c>
      <c r="B1707" t="s">
        <v>130</v>
      </c>
      <c r="C1707" t="s">
        <v>123</v>
      </c>
      <c r="D1707" t="s">
        <v>12</v>
      </c>
      <c r="E1707" t="s">
        <v>199</v>
      </c>
      <c r="F1707">
        <v>1560</v>
      </c>
      <c r="H1707">
        <f t="shared" si="60"/>
        <v>2</v>
      </c>
      <c r="I1707">
        <f t="shared" si="61"/>
        <v>2022</v>
      </c>
    </row>
    <row r="1708" spans="1:9" x14ac:dyDescent="0.3">
      <c r="A1708" s="1">
        <v>44602</v>
      </c>
      <c r="B1708" t="s">
        <v>130</v>
      </c>
      <c r="C1708" t="s">
        <v>384</v>
      </c>
      <c r="H1708">
        <f t="shared" si="60"/>
        <v>2</v>
      </c>
      <c r="I1708">
        <f t="shared" si="61"/>
        <v>2022</v>
      </c>
    </row>
    <row r="1709" spans="1:9" x14ac:dyDescent="0.3">
      <c r="A1709" s="1">
        <v>44602</v>
      </c>
      <c r="B1709" t="s">
        <v>130</v>
      </c>
      <c r="G1709">
        <v>2760</v>
      </c>
      <c r="H1709">
        <f t="shared" si="60"/>
        <v>2</v>
      </c>
      <c r="I1709">
        <f t="shared" si="61"/>
        <v>2022</v>
      </c>
    </row>
    <row r="1710" spans="1:9" x14ac:dyDescent="0.3">
      <c r="A1710" s="1">
        <v>44602</v>
      </c>
      <c r="B1710" t="s">
        <v>130</v>
      </c>
      <c r="C1710" t="s">
        <v>101</v>
      </c>
      <c r="D1710" t="s">
        <v>5</v>
      </c>
      <c r="E1710" t="s">
        <v>7</v>
      </c>
      <c r="F1710">
        <v>510</v>
      </c>
      <c r="H1710">
        <f t="shared" si="60"/>
        <v>2</v>
      </c>
      <c r="I1710">
        <f t="shared" si="61"/>
        <v>2022</v>
      </c>
    </row>
    <row r="1711" spans="1:9" x14ac:dyDescent="0.3">
      <c r="A1711" s="1">
        <v>44602</v>
      </c>
      <c r="B1711" t="s">
        <v>130</v>
      </c>
      <c r="C1711" t="s">
        <v>231</v>
      </c>
      <c r="D1711" t="s">
        <v>12</v>
      </c>
      <c r="E1711" t="s">
        <v>99</v>
      </c>
      <c r="F1711">
        <v>1080</v>
      </c>
      <c r="H1711">
        <f t="shared" si="60"/>
        <v>2</v>
      </c>
      <c r="I1711">
        <f t="shared" si="61"/>
        <v>2022</v>
      </c>
    </row>
    <row r="1712" spans="1:9" x14ac:dyDescent="0.3">
      <c r="A1712" s="1">
        <v>44602</v>
      </c>
      <c r="B1712" t="s">
        <v>130</v>
      </c>
      <c r="C1712" t="s">
        <v>381</v>
      </c>
      <c r="D1712" t="s">
        <v>18</v>
      </c>
      <c r="E1712" t="s">
        <v>382</v>
      </c>
      <c r="F1712">
        <v>570</v>
      </c>
      <c r="H1712">
        <f t="shared" si="60"/>
        <v>2</v>
      </c>
      <c r="I1712">
        <f t="shared" si="61"/>
        <v>2022</v>
      </c>
    </row>
    <row r="1713" spans="1:9" x14ac:dyDescent="0.3">
      <c r="A1713" s="1">
        <v>44602</v>
      </c>
      <c r="B1713" t="s">
        <v>130</v>
      </c>
      <c r="C1713" t="s">
        <v>359</v>
      </c>
      <c r="D1713" t="s">
        <v>5</v>
      </c>
      <c r="E1713" t="s">
        <v>160</v>
      </c>
      <c r="F1713">
        <v>600</v>
      </c>
      <c r="H1713">
        <f t="shared" si="60"/>
        <v>2</v>
      </c>
      <c r="I1713">
        <f t="shared" si="61"/>
        <v>2022</v>
      </c>
    </row>
    <row r="1714" spans="1:9" x14ac:dyDescent="0.3">
      <c r="A1714" s="1">
        <v>44602</v>
      </c>
      <c r="B1714" t="s">
        <v>130</v>
      </c>
      <c r="C1714" t="s">
        <v>385</v>
      </c>
      <c r="H1714">
        <f t="shared" si="60"/>
        <v>2</v>
      </c>
      <c r="I1714">
        <f t="shared" si="61"/>
        <v>2022</v>
      </c>
    </row>
    <row r="1715" spans="1:9" x14ac:dyDescent="0.3">
      <c r="A1715" s="1">
        <v>44602</v>
      </c>
      <c r="B1715" t="s">
        <v>130</v>
      </c>
      <c r="G1715">
        <v>2725</v>
      </c>
      <c r="H1715">
        <f t="shared" si="60"/>
        <v>2</v>
      </c>
      <c r="I1715">
        <f t="shared" si="61"/>
        <v>2022</v>
      </c>
    </row>
    <row r="1716" spans="1:9" x14ac:dyDescent="0.3">
      <c r="A1716" s="1">
        <v>44602</v>
      </c>
      <c r="B1716" t="s">
        <v>130</v>
      </c>
      <c r="C1716" t="s">
        <v>98</v>
      </c>
      <c r="D1716" t="s">
        <v>25</v>
      </c>
      <c r="E1716" t="s">
        <v>164</v>
      </c>
      <c r="F1716">
        <v>2725</v>
      </c>
      <c r="H1716">
        <f t="shared" si="60"/>
        <v>2</v>
      </c>
      <c r="I1716">
        <f t="shared" si="61"/>
        <v>2022</v>
      </c>
    </row>
    <row r="1717" spans="1:9" x14ac:dyDescent="0.3">
      <c r="A1717" s="1">
        <v>44602</v>
      </c>
      <c r="B1717" t="s">
        <v>130</v>
      </c>
      <c r="G1717">
        <v>4825</v>
      </c>
      <c r="H1717">
        <f t="shared" si="60"/>
        <v>2</v>
      </c>
      <c r="I1717">
        <f t="shared" si="61"/>
        <v>2022</v>
      </c>
    </row>
    <row r="1718" spans="1:9" x14ac:dyDescent="0.3">
      <c r="A1718" s="1">
        <v>44602</v>
      </c>
      <c r="B1718" t="s">
        <v>130</v>
      </c>
      <c r="C1718" t="s">
        <v>40</v>
      </c>
      <c r="D1718" t="s">
        <v>12</v>
      </c>
      <c r="E1718" t="s">
        <v>117</v>
      </c>
      <c r="F1718">
        <v>670</v>
      </c>
      <c r="H1718">
        <f t="shared" si="60"/>
        <v>2</v>
      </c>
      <c r="I1718">
        <f t="shared" si="61"/>
        <v>2022</v>
      </c>
    </row>
    <row r="1719" spans="1:9" x14ac:dyDescent="0.3">
      <c r="A1719" s="1">
        <v>44602</v>
      </c>
      <c r="B1719" t="s">
        <v>130</v>
      </c>
      <c r="C1719" t="s">
        <v>359</v>
      </c>
      <c r="D1719" t="s">
        <v>12</v>
      </c>
      <c r="E1719" t="s">
        <v>160</v>
      </c>
      <c r="F1719">
        <v>1200</v>
      </c>
      <c r="H1719">
        <f t="shared" si="60"/>
        <v>2</v>
      </c>
      <c r="I1719">
        <f t="shared" si="61"/>
        <v>2022</v>
      </c>
    </row>
    <row r="1720" spans="1:9" x14ac:dyDescent="0.3">
      <c r="A1720" s="1">
        <v>44602</v>
      </c>
      <c r="B1720" t="s">
        <v>130</v>
      </c>
      <c r="C1720" t="s">
        <v>383</v>
      </c>
      <c r="D1720" t="s">
        <v>18</v>
      </c>
      <c r="E1720" t="s">
        <v>382</v>
      </c>
      <c r="F1720">
        <v>570</v>
      </c>
      <c r="H1720">
        <f t="shared" si="60"/>
        <v>2</v>
      </c>
      <c r="I1720">
        <f t="shared" si="61"/>
        <v>2022</v>
      </c>
    </row>
    <row r="1721" spans="1:9" x14ac:dyDescent="0.3">
      <c r="A1721" s="1">
        <v>44602</v>
      </c>
      <c r="B1721" t="s">
        <v>130</v>
      </c>
      <c r="C1721" t="s">
        <v>98</v>
      </c>
      <c r="D1721" t="s">
        <v>12</v>
      </c>
      <c r="E1721" t="s">
        <v>14</v>
      </c>
      <c r="F1721">
        <v>1070</v>
      </c>
      <c r="H1721">
        <f t="shared" si="60"/>
        <v>2</v>
      </c>
      <c r="I1721">
        <f t="shared" si="61"/>
        <v>2022</v>
      </c>
    </row>
    <row r="1722" spans="1:9" x14ac:dyDescent="0.3">
      <c r="A1722" s="1">
        <v>44602</v>
      </c>
      <c r="B1722" t="s">
        <v>130</v>
      </c>
      <c r="C1722" t="s">
        <v>98</v>
      </c>
      <c r="D1722" t="s">
        <v>5</v>
      </c>
      <c r="E1722" t="s">
        <v>69</v>
      </c>
      <c r="F1722">
        <v>550</v>
      </c>
      <c r="H1722">
        <f t="shared" si="60"/>
        <v>2</v>
      </c>
      <c r="I1722">
        <f t="shared" si="61"/>
        <v>2022</v>
      </c>
    </row>
    <row r="1723" spans="1:9" x14ac:dyDescent="0.3">
      <c r="A1723" s="1">
        <v>44602</v>
      </c>
      <c r="B1723" t="s">
        <v>130</v>
      </c>
      <c r="C1723" t="s">
        <v>11</v>
      </c>
      <c r="D1723" t="s">
        <v>5</v>
      </c>
      <c r="E1723" t="s">
        <v>100</v>
      </c>
      <c r="F1723">
        <v>350</v>
      </c>
      <c r="H1723">
        <f t="shared" si="60"/>
        <v>2</v>
      </c>
      <c r="I1723">
        <f t="shared" si="61"/>
        <v>2022</v>
      </c>
    </row>
    <row r="1724" spans="1:9" x14ac:dyDescent="0.3">
      <c r="A1724" s="1">
        <v>44602</v>
      </c>
      <c r="B1724" t="s">
        <v>130</v>
      </c>
      <c r="C1724" t="s">
        <v>38</v>
      </c>
      <c r="D1724" t="s">
        <v>5</v>
      </c>
      <c r="E1724" t="s">
        <v>212</v>
      </c>
      <c r="F1724">
        <v>415</v>
      </c>
      <c r="H1724">
        <f t="shared" si="60"/>
        <v>2</v>
      </c>
      <c r="I1724">
        <f t="shared" si="61"/>
        <v>2022</v>
      </c>
    </row>
    <row r="1725" spans="1:9" x14ac:dyDescent="0.3">
      <c r="A1725" s="1">
        <v>44604</v>
      </c>
      <c r="B1725" t="s">
        <v>248</v>
      </c>
      <c r="G1725">
        <v>7250</v>
      </c>
      <c r="H1725">
        <f t="shared" si="60"/>
        <v>2</v>
      </c>
      <c r="I1725">
        <f t="shared" si="61"/>
        <v>2022</v>
      </c>
    </row>
    <row r="1726" spans="1:9" x14ac:dyDescent="0.3">
      <c r="A1726" s="1">
        <v>44604</v>
      </c>
      <c r="B1726" t="s">
        <v>248</v>
      </c>
      <c r="C1726" t="s">
        <v>98</v>
      </c>
      <c r="D1726" t="s">
        <v>37</v>
      </c>
      <c r="E1726" t="s">
        <v>14</v>
      </c>
      <c r="F1726">
        <v>5350</v>
      </c>
      <c r="H1726">
        <f t="shared" si="60"/>
        <v>2</v>
      </c>
      <c r="I1726">
        <f t="shared" si="61"/>
        <v>2022</v>
      </c>
    </row>
    <row r="1727" spans="1:9" x14ac:dyDescent="0.3">
      <c r="A1727" s="1">
        <v>44604</v>
      </c>
      <c r="B1727" t="s">
        <v>248</v>
      </c>
      <c r="C1727" t="s">
        <v>148</v>
      </c>
      <c r="D1727" t="s">
        <v>37</v>
      </c>
      <c r="E1727" t="s">
        <v>182</v>
      </c>
      <c r="F1727">
        <v>1900</v>
      </c>
      <c r="H1727">
        <f t="shared" si="60"/>
        <v>2</v>
      </c>
      <c r="I1727">
        <f t="shared" si="61"/>
        <v>2022</v>
      </c>
    </row>
    <row r="1728" spans="1:9" x14ac:dyDescent="0.3">
      <c r="A1728" s="1">
        <v>44604</v>
      </c>
      <c r="B1728" t="s">
        <v>3</v>
      </c>
      <c r="G1728">
        <v>1900</v>
      </c>
      <c r="H1728">
        <f t="shared" si="60"/>
        <v>2</v>
      </c>
      <c r="I1728">
        <f t="shared" si="61"/>
        <v>2022</v>
      </c>
    </row>
    <row r="1729" spans="1:9" x14ac:dyDescent="0.3">
      <c r="A1729" s="1">
        <v>44604</v>
      </c>
      <c r="B1729" t="s">
        <v>3</v>
      </c>
      <c r="C1729" t="s">
        <v>148</v>
      </c>
      <c r="D1729" t="s">
        <v>37</v>
      </c>
      <c r="E1729" t="s">
        <v>182</v>
      </c>
      <c r="F1729">
        <v>1900</v>
      </c>
      <c r="H1729">
        <f t="shared" si="60"/>
        <v>2</v>
      </c>
      <c r="I1729">
        <f t="shared" si="61"/>
        <v>2022</v>
      </c>
    </row>
    <row r="1730" spans="1:9" x14ac:dyDescent="0.3">
      <c r="A1730" s="1">
        <v>44604</v>
      </c>
      <c r="B1730" t="s">
        <v>71</v>
      </c>
      <c r="G1730">
        <v>3540</v>
      </c>
      <c r="H1730">
        <f t="shared" si="60"/>
        <v>2</v>
      </c>
      <c r="I1730">
        <f t="shared" si="61"/>
        <v>2022</v>
      </c>
    </row>
    <row r="1731" spans="1:9" x14ac:dyDescent="0.3">
      <c r="A1731" s="1">
        <v>44604</v>
      </c>
      <c r="B1731" t="s">
        <v>71</v>
      </c>
      <c r="C1731" t="s">
        <v>359</v>
      </c>
      <c r="D1731" t="s">
        <v>18</v>
      </c>
      <c r="E1731" t="s">
        <v>77</v>
      </c>
      <c r="F1731">
        <v>3540</v>
      </c>
      <c r="H1731">
        <f t="shared" si="60"/>
        <v>2</v>
      </c>
      <c r="I1731">
        <f t="shared" si="61"/>
        <v>2022</v>
      </c>
    </row>
    <row r="1732" spans="1:9" x14ac:dyDescent="0.3">
      <c r="A1732" s="1">
        <v>44604</v>
      </c>
      <c r="B1732" t="s">
        <v>3</v>
      </c>
      <c r="G1732">
        <v>1080</v>
      </c>
      <c r="H1732">
        <f t="shared" si="60"/>
        <v>2</v>
      </c>
      <c r="I1732">
        <f t="shared" si="61"/>
        <v>2022</v>
      </c>
    </row>
    <row r="1733" spans="1:9" x14ac:dyDescent="0.3">
      <c r="A1733" s="1">
        <v>44604</v>
      </c>
      <c r="B1733" t="s">
        <v>3</v>
      </c>
      <c r="C1733" t="s">
        <v>98</v>
      </c>
      <c r="D1733" t="s">
        <v>12</v>
      </c>
      <c r="E1733" t="s">
        <v>99</v>
      </c>
      <c r="F1733">
        <v>1080</v>
      </c>
      <c r="H1733">
        <f t="shared" si="60"/>
        <v>2</v>
      </c>
      <c r="I1733">
        <f t="shared" si="61"/>
        <v>2022</v>
      </c>
    </row>
    <row r="1734" spans="1:9" x14ac:dyDescent="0.3">
      <c r="A1734" s="1">
        <v>44604</v>
      </c>
      <c r="B1734" t="s">
        <v>196</v>
      </c>
      <c r="G1734">
        <v>3000</v>
      </c>
      <c r="H1734">
        <f t="shared" si="60"/>
        <v>2</v>
      </c>
      <c r="I1734">
        <f t="shared" si="61"/>
        <v>2022</v>
      </c>
    </row>
    <row r="1735" spans="1:9" x14ac:dyDescent="0.3">
      <c r="A1735" s="1">
        <v>44604</v>
      </c>
      <c r="B1735" t="s">
        <v>196</v>
      </c>
      <c r="C1735" t="s">
        <v>148</v>
      </c>
      <c r="D1735" t="s">
        <v>37</v>
      </c>
      <c r="E1735" t="s">
        <v>182</v>
      </c>
      <c r="F1735">
        <v>1900</v>
      </c>
      <c r="H1735">
        <f t="shared" si="60"/>
        <v>2</v>
      </c>
      <c r="I1735">
        <f t="shared" si="61"/>
        <v>2022</v>
      </c>
    </row>
    <row r="1736" spans="1:9" x14ac:dyDescent="0.3">
      <c r="A1736" s="1">
        <v>44604</v>
      </c>
      <c r="B1736" t="s">
        <v>196</v>
      </c>
      <c r="C1736" t="s">
        <v>134</v>
      </c>
      <c r="D1736" t="s">
        <v>12</v>
      </c>
      <c r="E1736" t="s">
        <v>69</v>
      </c>
      <c r="F1736">
        <v>1100</v>
      </c>
      <c r="H1736">
        <f t="shared" si="60"/>
        <v>2</v>
      </c>
      <c r="I1736">
        <f t="shared" si="61"/>
        <v>2022</v>
      </c>
    </row>
    <row r="1737" spans="1:9" x14ac:dyDescent="0.3">
      <c r="A1737" s="1">
        <v>44604</v>
      </c>
      <c r="B1737" t="s">
        <v>8</v>
      </c>
      <c r="G1737">
        <v>23355</v>
      </c>
      <c r="H1737">
        <f t="shared" si="60"/>
        <v>2</v>
      </c>
      <c r="I1737">
        <f t="shared" si="61"/>
        <v>2022</v>
      </c>
    </row>
    <row r="1738" spans="1:9" x14ac:dyDescent="0.3">
      <c r="A1738" s="1">
        <v>44604</v>
      </c>
      <c r="B1738" t="s">
        <v>8</v>
      </c>
      <c r="C1738" t="s">
        <v>98</v>
      </c>
      <c r="D1738" t="s">
        <v>37</v>
      </c>
      <c r="E1738" t="s">
        <v>26</v>
      </c>
      <c r="F1738">
        <v>5300</v>
      </c>
      <c r="H1738">
        <f t="shared" si="60"/>
        <v>2</v>
      </c>
      <c r="I1738">
        <f t="shared" si="61"/>
        <v>2022</v>
      </c>
    </row>
    <row r="1739" spans="1:9" x14ac:dyDescent="0.3">
      <c r="A1739" s="1">
        <v>44604</v>
      </c>
      <c r="B1739" t="s">
        <v>8</v>
      </c>
      <c r="C1739" t="s">
        <v>11</v>
      </c>
      <c r="D1739" t="s">
        <v>37</v>
      </c>
      <c r="E1739" t="s">
        <v>13</v>
      </c>
      <c r="F1739">
        <v>3450</v>
      </c>
      <c r="H1739">
        <f t="shared" si="60"/>
        <v>2</v>
      </c>
      <c r="I1739">
        <f t="shared" si="61"/>
        <v>2022</v>
      </c>
    </row>
    <row r="1740" spans="1:9" x14ac:dyDescent="0.3">
      <c r="A1740" s="1">
        <v>44604</v>
      </c>
      <c r="B1740" t="s">
        <v>8</v>
      </c>
      <c r="C1740" t="s">
        <v>38</v>
      </c>
      <c r="D1740" t="s">
        <v>30</v>
      </c>
      <c r="E1740" t="s">
        <v>212</v>
      </c>
      <c r="F1740">
        <v>2905</v>
      </c>
      <c r="H1740">
        <f t="shared" si="60"/>
        <v>2</v>
      </c>
      <c r="I1740">
        <f t="shared" si="61"/>
        <v>2022</v>
      </c>
    </row>
    <row r="1741" spans="1:9" x14ac:dyDescent="0.3">
      <c r="A1741" s="1">
        <v>44604</v>
      </c>
      <c r="B1741" t="s">
        <v>8</v>
      </c>
      <c r="C1741" t="s">
        <v>44</v>
      </c>
      <c r="D1741" t="s">
        <v>25</v>
      </c>
      <c r="E1741" t="s">
        <v>76</v>
      </c>
      <c r="F1741">
        <v>2850</v>
      </c>
      <c r="H1741">
        <f t="shared" si="60"/>
        <v>2</v>
      </c>
      <c r="I1741">
        <f t="shared" si="61"/>
        <v>2022</v>
      </c>
    </row>
    <row r="1742" spans="1:9" x14ac:dyDescent="0.3">
      <c r="A1742" s="1">
        <v>44604</v>
      </c>
      <c r="B1742" t="s">
        <v>8</v>
      </c>
      <c r="C1742" t="s">
        <v>359</v>
      </c>
      <c r="D1742" t="s">
        <v>61</v>
      </c>
      <c r="E1742" t="s">
        <v>77</v>
      </c>
      <c r="F1742">
        <v>8850</v>
      </c>
      <c r="H1742">
        <f t="shared" si="60"/>
        <v>2</v>
      </c>
      <c r="I1742">
        <f t="shared" si="61"/>
        <v>2022</v>
      </c>
    </row>
    <row r="1743" spans="1:9" x14ac:dyDescent="0.3">
      <c r="A1743" s="1">
        <v>44606</v>
      </c>
      <c r="B1743" t="s">
        <v>130</v>
      </c>
      <c r="G1743">
        <v>1910</v>
      </c>
      <c r="H1743">
        <f t="shared" si="60"/>
        <v>2</v>
      </c>
      <c r="I1743">
        <f t="shared" si="61"/>
        <v>2022</v>
      </c>
    </row>
    <row r="1744" spans="1:9" x14ac:dyDescent="0.3">
      <c r="A1744" s="1">
        <v>44606</v>
      </c>
      <c r="B1744" t="s">
        <v>130</v>
      </c>
      <c r="C1744" t="s">
        <v>11</v>
      </c>
      <c r="D1744" t="s">
        <v>12</v>
      </c>
      <c r="E1744" t="s">
        <v>100</v>
      </c>
      <c r="F1744">
        <v>700</v>
      </c>
      <c r="H1744">
        <f t="shared" si="60"/>
        <v>2</v>
      </c>
      <c r="I1744">
        <f t="shared" si="61"/>
        <v>2022</v>
      </c>
    </row>
    <row r="1745" spans="1:9" x14ac:dyDescent="0.3">
      <c r="A1745" s="1">
        <v>44606</v>
      </c>
      <c r="B1745" t="s">
        <v>130</v>
      </c>
      <c r="C1745" t="s">
        <v>40</v>
      </c>
      <c r="D1745" t="s">
        <v>12</v>
      </c>
      <c r="E1745" t="s">
        <v>104</v>
      </c>
      <c r="F1745">
        <v>660</v>
      </c>
      <c r="H1745">
        <f t="shared" si="60"/>
        <v>2</v>
      </c>
      <c r="I1745">
        <f t="shared" si="61"/>
        <v>2022</v>
      </c>
    </row>
    <row r="1746" spans="1:9" x14ac:dyDescent="0.3">
      <c r="A1746" s="1">
        <v>44606</v>
      </c>
      <c r="B1746" t="s">
        <v>130</v>
      </c>
      <c r="C1746" t="s">
        <v>98</v>
      </c>
      <c r="D1746" t="s">
        <v>5</v>
      </c>
      <c r="E1746" t="s">
        <v>69</v>
      </c>
      <c r="F1746">
        <v>550</v>
      </c>
      <c r="H1746">
        <f t="shared" si="60"/>
        <v>2</v>
      </c>
      <c r="I1746">
        <f t="shared" si="61"/>
        <v>2022</v>
      </c>
    </row>
    <row r="1747" spans="1:9" x14ac:dyDescent="0.3">
      <c r="A1747" s="1">
        <v>44606</v>
      </c>
      <c r="B1747" t="s">
        <v>130</v>
      </c>
      <c r="G1747">
        <v>1280</v>
      </c>
      <c r="H1747">
        <f t="shared" si="60"/>
        <v>2</v>
      </c>
      <c r="I1747">
        <f t="shared" si="61"/>
        <v>2022</v>
      </c>
    </row>
    <row r="1748" spans="1:9" x14ac:dyDescent="0.3">
      <c r="A1748" s="1">
        <v>44606</v>
      </c>
      <c r="B1748" t="s">
        <v>130</v>
      </c>
      <c r="C1748" t="s">
        <v>108</v>
      </c>
      <c r="D1748" t="s">
        <v>5</v>
      </c>
      <c r="E1748" t="s">
        <v>164</v>
      </c>
      <c r="F1748">
        <v>545</v>
      </c>
      <c r="H1748">
        <f t="shared" si="60"/>
        <v>2</v>
      </c>
      <c r="I1748">
        <f t="shared" si="61"/>
        <v>2022</v>
      </c>
    </row>
    <row r="1749" spans="1:9" x14ac:dyDescent="0.3">
      <c r="A1749" s="1">
        <v>44606</v>
      </c>
      <c r="B1749" t="s">
        <v>130</v>
      </c>
      <c r="C1749" t="s">
        <v>133</v>
      </c>
      <c r="D1749" t="s">
        <v>5</v>
      </c>
      <c r="E1749" t="s">
        <v>164</v>
      </c>
      <c r="F1749">
        <v>545</v>
      </c>
      <c r="H1749">
        <f t="shared" si="60"/>
        <v>2</v>
      </c>
      <c r="I1749">
        <f t="shared" si="61"/>
        <v>2022</v>
      </c>
    </row>
    <row r="1750" spans="1:9" x14ac:dyDescent="0.3">
      <c r="A1750" s="1">
        <v>44606</v>
      </c>
      <c r="B1750" t="s">
        <v>130</v>
      </c>
      <c r="C1750" t="s">
        <v>148</v>
      </c>
      <c r="D1750" t="s">
        <v>5</v>
      </c>
      <c r="E1750" t="s">
        <v>182</v>
      </c>
      <c r="F1750">
        <v>190</v>
      </c>
      <c r="H1750">
        <f t="shared" si="60"/>
        <v>2</v>
      </c>
      <c r="I1750">
        <f t="shared" si="61"/>
        <v>2022</v>
      </c>
    </row>
    <row r="1751" spans="1:9" x14ac:dyDescent="0.3">
      <c r="A1751" s="1">
        <v>44606</v>
      </c>
      <c r="B1751" t="s">
        <v>130</v>
      </c>
      <c r="G1751">
        <v>900</v>
      </c>
      <c r="H1751">
        <f t="shared" si="60"/>
        <v>2</v>
      </c>
      <c r="I1751">
        <f t="shared" si="61"/>
        <v>2022</v>
      </c>
    </row>
    <row r="1752" spans="1:9" x14ac:dyDescent="0.3">
      <c r="A1752" s="1">
        <v>44606</v>
      </c>
      <c r="B1752" t="s">
        <v>130</v>
      </c>
      <c r="C1752" t="s">
        <v>98</v>
      </c>
      <c r="D1752" t="s">
        <v>5</v>
      </c>
      <c r="E1752" t="s">
        <v>69</v>
      </c>
      <c r="F1752">
        <v>550</v>
      </c>
      <c r="H1752">
        <f t="shared" si="60"/>
        <v>2</v>
      </c>
      <c r="I1752">
        <f t="shared" si="61"/>
        <v>2022</v>
      </c>
    </row>
    <row r="1753" spans="1:9" x14ac:dyDescent="0.3">
      <c r="A1753" s="1">
        <v>44606</v>
      </c>
      <c r="B1753" t="s">
        <v>130</v>
      </c>
      <c r="C1753" t="s">
        <v>11</v>
      </c>
      <c r="D1753" t="s">
        <v>5</v>
      </c>
      <c r="E1753" t="s">
        <v>100</v>
      </c>
      <c r="F1753">
        <v>350</v>
      </c>
      <c r="H1753">
        <f t="shared" si="60"/>
        <v>2</v>
      </c>
      <c r="I1753">
        <f t="shared" si="61"/>
        <v>2022</v>
      </c>
    </row>
    <row r="1754" spans="1:9" x14ac:dyDescent="0.3">
      <c r="A1754" s="1">
        <v>44606</v>
      </c>
      <c r="B1754" t="s">
        <v>209</v>
      </c>
      <c r="G1754">
        <v>23268</v>
      </c>
      <c r="H1754">
        <f t="shared" si="60"/>
        <v>2</v>
      </c>
      <c r="I1754">
        <f t="shared" si="61"/>
        <v>2022</v>
      </c>
    </row>
    <row r="1755" spans="1:9" x14ac:dyDescent="0.3">
      <c r="A1755" s="1">
        <v>44606</v>
      </c>
      <c r="B1755" t="s">
        <v>209</v>
      </c>
      <c r="C1755" t="s">
        <v>22</v>
      </c>
      <c r="D1755" t="s">
        <v>15</v>
      </c>
      <c r="E1755" t="s">
        <v>210</v>
      </c>
      <c r="F1755">
        <v>10008</v>
      </c>
      <c r="H1755">
        <f t="shared" si="60"/>
        <v>2</v>
      </c>
      <c r="I1755">
        <f t="shared" si="61"/>
        <v>2022</v>
      </c>
    </row>
    <row r="1756" spans="1:9" x14ac:dyDescent="0.3">
      <c r="A1756" s="1">
        <v>44606</v>
      </c>
      <c r="B1756" t="s">
        <v>209</v>
      </c>
      <c r="C1756" t="s">
        <v>173</v>
      </c>
      <c r="D1756" t="s">
        <v>63</v>
      </c>
      <c r="E1756" t="s">
        <v>357</v>
      </c>
      <c r="F1756">
        <v>7080</v>
      </c>
      <c r="H1756">
        <f t="shared" si="60"/>
        <v>2</v>
      </c>
      <c r="I1756">
        <f t="shared" si="61"/>
        <v>2022</v>
      </c>
    </row>
    <row r="1757" spans="1:9" x14ac:dyDescent="0.3">
      <c r="A1757" s="1">
        <v>44606</v>
      </c>
      <c r="B1757" t="s">
        <v>209</v>
      </c>
      <c r="C1757" t="s">
        <v>338</v>
      </c>
      <c r="D1757" t="s">
        <v>16</v>
      </c>
      <c r="E1757" t="s">
        <v>81</v>
      </c>
      <c r="F1757">
        <v>6180</v>
      </c>
      <c r="H1757">
        <f t="shared" si="60"/>
        <v>2</v>
      </c>
      <c r="I1757">
        <f t="shared" si="61"/>
        <v>2022</v>
      </c>
    </row>
    <row r="1758" spans="1:9" x14ac:dyDescent="0.3">
      <c r="A1758" s="1">
        <v>44606</v>
      </c>
      <c r="B1758" t="s">
        <v>386</v>
      </c>
      <c r="G1758">
        <v>8000</v>
      </c>
      <c r="H1758">
        <f t="shared" si="60"/>
        <v>2</v>
      </c>
      <c r="I1758">
        <f t="shared" si="61"/>
        <v>2022</v>
      </c>
    </row>
    <row r="1759" spans="1:9" x14ac:dyDescent="0.3">
      <c r="A1759" s="1">
        <v>44606</v>
      </c>
      <c r="B1759" t="s">
        <v>386</v>
      </c>
      <c r="C1759" t="s">
        <v>40</v>
      </c>
      <c r="D1759" t="s">
        <v>80</v>
      </c>
      <c r="E1759" t="s">
        <v>90</v>
      </c>
      <c r="F1759">
        <v>8000</v>
      </c>
      <c r="H1759">
        <f t="shared" si="60"/>
        <v>2</v>
      </c>
      <c r="I1759">
        <f t="shared" si="61"/>
        <v>2022</v>
      </c>
    </row>
    <row r="1760" spans="1:9" x14ac:dyDescent="0.3">
      <c r="A1760" s="1">
        <v>44606</v>
      </c>
      <c r="B1760" t="s">
        <v>130</v>
      </c>
      <c r="G1760">
        <v>5730</v>
      </c>
      <c r="H1760">
        <f t="shared" si="60"/>
        <v>2</v>
      </c>
      <c r="I1760">
        <f t="shared" si="61"/>
        <v>2022</v>
      </c>
    </row>
    <row r="1761" spans="1:9" x14ac:dyDescent="0.3">
      <c r="A1761" s="1">
        <v>44606</v>
      </c>
      <c r="B1761" t="s">
        <v>130</v>
      </c>
      <c r="C1761" t="s">
        <v>359</v>
      </c>
      <c r="D1761" t="s">
        <v>12</v>
      </c>
      <c r="E1761" t="s">
        <v>160</v>
      </c>
      <c r="F1761">
        <v>1200</v>
      </c>
      <c r="H1761">
        <f t="shared" si="60"/>
        <v>2</v>
      </c>
      <c r="I1761">
        <f t="shared" si="61"/>
        <v>2022</v>
      </c>
    </row>
    <row r="1762" spans="1:9" x14ac:dyDescent="0.3">
      <c r="A1762" s="1">
        <v>44606</v>
      </c>
      <c r="B1762" t="s">
        <v>130</v>
      </c>
      <c r="C1762" t="s">
        <v>11</v>
      </c>
      <c r="D1762" t="s">
        <v>12</v>
      </c>
      <c r="E1762" t="s">
        <v>100</v>
      </c>
      <c r="F1762">
        <v>700</v>
      </c>
      <c r="H1762">
        <f t="shared" si="60"/>
        <v>2</v>
      </c>
      <c r="I1762">
        <f t="shared" si="61"/>
        <v>2022</v>
      </c>
    </row>
    <row r="1763" spans="1:9" x14ac:dyDescent="0.3">
      <c r="A1763" s="1">
        <v>44606</v>
      </c>
      <c r="B1763" t="s">
        <v>130</v>
      </c>
      <c r="C1763" t="s">
        <v>11</v>
      </c>
      <c r="D1763" t="s">
        <v>5</v>
      </c>
      <c r="E1763" t="s">
        <v>118</v>
      </c>
      <c r="F1763">
        <v>340</v>
      </c>
      <c r="H1763">
        <f t="shared" si="60"/>
        <v>2</v>
      </c>
      <c r="I1763">
        <f t="shared" si="61"/>
        <v>2022</v>
      </c>
    </row>
    <row r="1764" spans="1:9" x14ac:dyDescent="0.3">
      <c r="A1764" s="1">
        <v>44606</v>
      </c>
      <c r="B1764" t="s">
        <v>130</v>
      </c>
      <c r="C1764" t="s">
        <v>213</v>
      </c>
      <c r="D1764" t="s">
        <v>93</v>
      </c>
      <c r="E1764" t="s">
        <v>223</v>
      </c>
      <c r="F1764">
        <v>840</v>
      </c>
      <c r="H1764">
        <f t="shared" si="60"/>
        <v>2</v>
      </c>
      <c r="I1764">
        <f t="shared" si="61"/>
        <v>2022</v>
      </c>
    </row>
    <row r="1765" spans="1:9" x14ac:dyDescent="0.3">
      <c r="A1765" s="1">
        <v>44606</v>
      </c>
      <c r="B1765" t="s">
        <v>130</v>
      </c>
      <c r="C1765" t="s">
        <v>98</v>
      </c>
      <c r="D1765" t="s">
        <v>25</v>
      </c>
      <c r="E1765" t="s">
        <v>26</v>
      </c>
      <c r="F1765">
        <v>2650</v>
      </c>
      <c r="H1765">
        <f t="shared" si="60"/>
        <v>2</v>
      </c>
      <c r="I1765">
        <f t="shared" si="61"/>
        <v>2022</v>
      </c>
    </row>
    <row r="1766" spans="1:9" x14ac:dyDescent="0.3">
      <c r="A1766" s="1">
        <v>44606</v>
      </c>
      <c r="B1766" t="s">
        <v>248</v>
      </c>
      <c r="G1766">
        <v>3300</v>
      </c>
      <c r="H1766">
        <f t="shared" ref="H1766:H1822" si="62">MONTH(A1766)</f>
        <v>2</v>
      </c>
      <c r="I1766">
        <f t="shared" ref="I1766:I1822" si="63">YEAR(A1766)</f>
        <v>2022</v>
      </c>
    </row>
    <row r="1767" spans="1:9" x14ac:dyDescent="0.3">
      <c r="A1767" s="1">
        <v>44606</v>
      </c>
      <c r="B1767" t="s">
        <v>248</v>
      </c>
      <c r="C1767" t="s">
        <v>40</v>
      </c>
      <c r="D1767" t="s">
        <v>37</v>
      </c>
      <c r="E1767" t="s">
        <v>104</v>
      </c>
      <c r="F1767">
        <v>3300</v>
      </c>
      <c r="H1767">
        <f t="shared" si="62"/>
        <v>2</v>
      </c>
      <c r="I1767">
        <f t="shared" si="63"/>
        <v>2022</v>
      </c>
    </row>
    <row r="1768" spans="1:9" x14ac:dyDescent="0.3">
      <c r="A1768" s="1">
        <v>44606</v>
      </c>
      <c r="B1768" t="s">
        <v>234</v>
      </c>
      <c r="G1768">
        <v>19645</v>
      </c>
      <c r="H1768">
        <f t="shared" si="62"/>
        <v>2</v>
      </c>
      <c r="I1768">
        <f t="shared" si="63"/>
        <v>2022</v>
      </c>
    </row>
    <row r="1769" spans="1:9" x14ac:dyDescent="0.3">
      <c r="A1769" s="1">
        <v>44606</v>
      </c>
      <c r="B1769" t="s">
        <v>234</v>
      </c>
      <c r="C1769" t="s">
        <v>204</v>
      </c>
      <c r="D1769" t="s">
        <v>12</v>
      </c>
      <c r="E1769" t="s">
        <v>387</v>
      </c>
      <c r="F1769">
        <v>810</v>
      </c>
      <c r="H1769">
        <f t="shared" si="62"/>
        <v>2</v>
      </c>
      <c r="I1769">
        <f t="shared" si="63"/>
        <v>2022</v>
      </c>
    </row>
    <row r="1770" spans="1:9" x14ac:dyDescent="0.3">
      <c r="A1770" s="1">
        <v>44606</v>
      </c>
      <c r="B1770" t="s">
        <v>234</v>
      </c>
      <c r="C1770" t="s">
        <v>11</v>
      </c>
      <c r="D1770" t="s">
        <v>23</v>
      </c>
      <c r="E1770" t="s">
        <v>13</v>
      </c>
      <c r="F1770">
        <v>1035</v>
      </c>
      <c r="H1770">
        <f t="shared" si="62"/>
        <v>2</v>
      </c>
      <c r="I1770">
        <f t="shared" si="63"/>
        <v>2022</v>
      </c>
    </row>
    <row r="1771" spans="1:9" x14ac:dyDescent="0.3">
      <c r="A1771" s="1">
        <v>44606</v>
      </c>
      <c r="B1771" t="s">
        <v>234</v>
      </c>
      <c r="C1771" t="s">
        <v>40</v>
      </c>
      <c r="D1771" t="s">
        <v>61</v>
      </c>
      <c r="E1771" t="s">
        <v>104</v>
      </c>
      <c r="F1771">
        <v>4950</v>
      </c>
      <c r="H1771">
        <f t="shared" si="62"/>
        <v>2</v>
      </c>
      <c r="I1771">
        <f t="shared" si="63"/>
        <v>2022</v>
      </c>
    </row>
    <row r="1772" spans="1:9" x14ac:dyDescent="0.3">
      <c r="A1772" s="1">
        <v>44606</v>
      </c>
      <c r="B1772" t="s">
        <v>234</v>
      </c>
      <c r="C1772" t="s">
        <v>94</v>
      </c>
      <c r="D1772" t="s">
        <v>244</v>
      </c>
      <c r="E1772" t="s">
        <v>264</v>
      </c>
      <c r="F1772">
        <v>5100</v>
      </c>
      <c r="H1772">
        <f t="shared" si="62"/>
        <v>2</v>
      </c>
      <c r="I1772">
        <f t="shared" si="63"/>
        <v>2022</v>
      </c>
    </row>
    <row r="1773" spans="1:9" x14ac:dyDescent="0.3">
      <c r="A1773" s="1">
        <v>44606</v>
      </c>
      <c r="B1773" t="s">
        <v>234</v>
      </c>
      <c r="C1773" t="s">
        <v>98</v>
      </c>
      <c r="D1773" t="s">
        <v>37</v>
      </c>
      <c r="E1773" t="s">
        <v>14</v>
      </c>
      <c r="F1773">
        <v>5350</v>
      </c>
      <c r="H1773">
        <f t="shared" si="62"/>
        <v>2</v>
      </c>
      <c r="I1773">
        <f t="shared" si="63"/>
        <v>2022</v>
      </c>
    </row>
    <row r="1774" spans="1:9" x14ac:dyDescent="0.3">
      <c r="A1774" s="1">
        <v>44606</v>
      </c>
      <c r="B1774" t="s">
        <v>234</v>
      </c>
      <c r="C1774" t="s">
        <v>44</v>
      </c>
      <c r="D1774" t="s">
        <v>23</v>
      </c>
      <c r="E1774" t="s">
        <v>102</v>
      </c>
      <c r="F1774">
        <v>1440</v>
      </c>
      <c r="H1774">
        <f t="shared" si="62"/>
        <v>2</v>
      </c>
      <c r="I1774">
        <f t="shared" si="63"/>
        <v>2022</v>
      </c>
    </row>
    <row r="1775" spans="1:9" x14ac:dyDescent="0.3">
      <c r="A1775" s="1">
        <v>44606</v>
      </c>
      <c r="B1775" t="s">
        <v>234</v>
      </c>
      <c r="C1775" t="s">
        <v>42</v>
      </c>
      <c r="D1775" t="s">
        <v>12</v>
      </c>
      <c r="E1775" t="s">
        <v>102</v>
      </c>
      <c r="F1775">
        <v>960</v>
      </c>
      <c r="H1775">
        <f t="shared" si="62"/>
        <v>2</v>
      </c>
      <c r="I1775">
        <f t="shared" si="63"/>
        <v>2022</v>
      </c>
    </row>
    <row r="1776" spans="1:9" x14ac:dyDescent="0.3">
      <c r="A1776" s="1">
        <v>44606</v>
      </c>
      <c r="B1776" t="s">
        <v>28</v>
      </c>
      <c r="G1776">
        <v>2120</v>
      </c>
      <c r="H1776">
        <f t="shared" si="62"/>
        <v>2</v>
      </c>
      <c r="I1776">
        <f t="shared" si="63"/>
        <v>2022</v>
      </c>
    </row>
    <row r="1777" spans="1:9" x14ac:dyDescent="0.3">
      <c r="A1777" s="1">
        <v>44606</v>
      </c>
      <c r="B1777" t="s">
        <v>28</v>
      </c>
      <c r="C1777" t="s">
        <v>40</v>
      </c>
      <c r="D1777" t="s">
        <v>25</v>
      </c>
      <c r="E1777" t="s">
        <v>104</v>
      </c>
      <c r="F1777">
        <v>1650</v>
      </c>
      <c r="H1777">
        <f t="shared" si="62"/>
        <v>2</v>
      </c>
      <c r="I1777">
        <f t="shared" si="63"/>
        <v>2022</v>
      </c>
    </row>
    <row r="1778" spans="1:9" x14ac:dyDescent="0.3">
      <c r="A1778" s="1">
        <v>44606</v>
      </c>
      <c r="B1778" t="s">
        <v>28</v>
      </c>
      <c r="C1778" t="s">
        <v>44</v>
      </c>
      <c r="D1778" t="s">
        <v>5</v>
      </c>
      <c r="E1778" t="s">
        <v>145</v>
      </c>
      <c r="F1778">
        <v>470</v>
      </c>
      <c r="H1778">
        <f t="shared" si="62"/>
        <v>2</v>
      </c>
      <c r="I1778">
        <f t="shared" si="63"/>
        <v>2022</v>
      </c>
    </row>
    <row r="1779" spans="1:9" x14ac:dyDescent="0.3">
      <c r="A1779" s="1">
        <v>44610</v>
      </c>
      <c r="B1779" t="s">
        <v>88</v>
      </c>
      <c r="G1779">
        <v>26250</v>
      </c>
      <c r="H1779">
        <f t="shared" si="62"/>
        <v>2</v>
      </c>
      <c r="I1779">
        <f t="shared" si="63"/>
        <v>2022</v>
      </c>
    </row>
    <row r="1780" spans="1:9" x14ac:dyDescent="0.3">
      <c r="A1780" s="1">
        <v>44610</v>
      </c>
      <c r="B1780" t="s">
        <v>88</v>
      </c>
      <c r="C1780" t="s">
        <v>98</v>
      </c>
      <c r="D1780" t="s">
        <v>52</v>
      </c>
      <c r="E1780" t="s">
        <v>6</v>
      </c>
      <c r="F1780">
        <v>26250</v>
      </c>
      <c r="H1780">
        <f t="shared" si="62"/>
        <v>2</v>
      </c>
      <c r="I1780">
        <f t="shared" si="63"/>
        <v>2022</v>
      </c>
    </row>
    <row r="1781" spans="1:9" x14ac:dyDescent="0.3">
      <c r="A1781" s="1">
        <v>44610</v>
      </c>
      <c r="B1781" t="s">
        <v>36</v>
      </c>
      <c r="G1781">
        <v>12600</v>
      </c>
      <c r="H1781">
        <f t="shared" si="62"/>
        <v>2</v>
      </c>
      <c r="I1781">
        <f t="shared" si="63"/>
        <v>2022</v>
      </c>
    </row>
    <row r="1782" spans="1:9" x14ac:dyDescent="0.3">
      <c r="A1782" s="1">
        <v>44610</v>
      </c>
      <c r="B1782" t="s">
        <v>36</v>
      </c>
      <c r="C1782" t="s">
        <v>40</v>
      </c>
      <c r="D1782" t="s">
        <v>54</v>
      </c>
      <c r="E1782" t="s">
        <v>224</v>
      </c>
      <c r="F1782">
        <v>12600</v>
      </c>
      <c r="H1782">
        <f t="shared" si="62"/>
        <v>2</v>
      </c>
      <c r="I1782">
        <f t="shared" si="63"/>
        <v>2022</v>
      </c>
    </row>
    <row r="1783" spans="1:9" x14ac:dyDescent="0.3">
      <c r="A1783" s="1">
        <v>44611</v>
      </c>
      <c r="B1783" t="s">
        <v>28</v>
      </c>
      <c r="G1783">
        <v>11950</v>
      </c>
      <c r="H1783">
        <f t="shared" si="62"/>
        <v>2</v>
      </c>
      <c r="I1783">
        <f t="shared" si="63"/>
        <v>2022</v>
      </c>
    </row>
    <row r="1784" spans="1:9" x14ac:dyDescent="0.3">
      <c r="A1784" s="1">
        <v>44611</v>
      </c>
      <c r="B1784" t="s">
        <v>28</v>
      </c>
      <c r="C1784" t="s">
        <v>40</v>
      </c>
      <c r="D1784" t="s">
        <v>9</v>
      </c>
      <c r="E1784" t="s">
        <v>104</v>
      </c>
      <c r="F1784">
        <v>6600</v>
      </c>
      <c r="H1784">
        <f t="shared" si="62"/>
        <v>2</v>
      </c>
      <c r="I1784">
        <f t="shared" si="63"/>
        <v>2022</v>
      </c>
    </row>
    <row r="1785" spans="1:9" x14ac:dyDescent="0.3">
      <c r="A1785" s="1">
        <v>44611</v>
      </c>
      <c r="B1785" t="s">
        <v>28</v>
      </c>
      <c r="C1785" t="s">
        <v>98</v>
      </c>
      <c r="D1785" t="s">
        <v>37</v>
      </c>
      <c r="E1785" t="s">
        <v>14</v>
      </c>
      <c r="F1785">
        <v>5350</v>
      </c>
      <c r="H1785">
        <f t="shared" si="62"/>
        <v>2</v>
      </c>
      <c r="I1785">
        <f t="shared" si="63"/>
        <v>2022</v>
      </c>
    </row>
    <row r="1786" spans="1:9" x14ac:dyDescent="0.3">
      <c r="A1786" s="1">
        <v>44611</v>
      </c>
      <c r="B1786" t="s">
        <v>388</v>
      </c>
      <c r="G1786">
        <v>10650</v>
      </c>
      <c r="H1786">
        <f t="shared" si="62"/>
        <v>2</v>
      </c>
      <c r="I1786">
        <f t="shared" si="63"/>
        <v>2022</v>
      </c>
    </row>
    <row r="1787" spans="1:9" x14ac:dyDescent="0.3">
      <c r="A1787" s="1">
        <v>44611</v>
      </c>
      <c r="B1787" t="s">
        <v>388</v>
      </c>
      <c r="C1787" t="s">
        <v>40</v>
      </c>
      <c r="D1787" t="s">
        <v>9</v>
      </c>
      <c r="E1787" t="s">
        <v>60</v>
      </c>
      <c r="F1787">
        <v>6500</v>
      </c>
      <c r="H1787">
        <f t="shared" si="62"/>
        <v>2</v>
      </c>
      <c r="I1787">
        <f t="shared" si="63"/>
        <v>2022</v>
      </c>
    </row>
    <row r="1788" spans="1:9" x14ac:dyDescent="0.3">
      <c r="A1788" s="1">
        <v>44611</v>
      </c>
      <c r="B1788" t="s">
        <v>388</v>
      </c>
      <c r="C1788" t="s">
        <v>38</v>
      </c>
      <c r="D1788" t="s">
        <v>37</v>
      </c>
      <c r="E1788" t="s">
        <v>212</v>
      </c>
      <c r="F1788">
        <v>4150</v>
      </c>
      <c r="H1788">
        <f t="shared" si="62"/>
        <v>2</v>
      </c>
      <c r="I1788">
        <f t="shared" si="63"/>
        <v>2022</v>
      </c>
    </row>
    <row r="1789" spans="1:9" x14ac:dyDescent="0.3">
      <c r="A1789" s="1">
        <v>44611</v>
      </c>
      <c r="B1789" t="s">
        <v>232</v>
      </c>
      <c r="G1789">
        <v>1400</v>
      </c>
      <c r="H1789">
        <f t="shared" si="62"/>
        <v>2</v>
      </c>
      <c r="I1789">
        <f t="shared" si="63"/>
        <v>2022</v>
      </c>
    </row>
    <row r="1790" spans="1:9" x14ac:dyDescent="0.3">
      <c r="A1790" s="1">
        <v>44611</v>
      </c>
      <c r="B1790" t="s">
        <v>232</v>
      </c>
      <c r="C1790" t="s">
        <v>98</v>
      </c>
      <c r="D1790" t="s">
        <v>12</v>
      </c>
      <c r="E1790" t="s">
        <v>99</v>
      </c>
      <c r="F1790">
        <v>1080</v>
      </c>
      <c r="H1790">
        <f t="shared" si="62"/>
        <v>2</v>
      </c>
      <c r="I1790">
        <f t="shared" si="63"/>
        <v>2022</v>
      </c>
    </row>
    <row r="1791" spans="1:9" x14ac:dyDescent="0.3">
      <c r="A1791" s="1">
        <v>44611</v>
      </c>
      <c r="B1791" t="s">
        <v>232</v>
      </c>
      <c r="C1791" t="s">
        <v>389</v>
      </c>
      <c r="D1791" t="s">
        <v>5</v>
      </c>
      <c r="E1791" t="s">
        <v>90</v>
      </c>
      <c r="F1791">
        <v>320</v>
      </c>
      <c r="H1791">
        <f t="shared" si="62"/>
        <v>2</v>
      </c>
      <c r="I1791">
        <f t="shared" si="63"/>
        <v>2022</v>
      </c>
    </row>
    <row r="1792" spans="1:9" x14ac:dyDescent="0.3">
      <c r="A1792" s="1">
        <v>44613</v>
      </c>
      <c r="B1792" t="s">
        <v>88</v>
      </c>
      <c r="G1792">
        <v>750</v>
      </c>
      <c r="H1792">
        <f t="shared" si="62"/>
        <v>2</v>
      </c>
      <c r="I1792">
        <f t="shared" si="63"/>
        <v>2022</v>
      </c>
    </row>
    <row r="1793" spans="1:9" x14ac:dyDescent="0.3">
      <c r="A1793" s="1">
        <v>44613</v>
      </c>
      <c r="B1793" t="s">
        <v>88</v>
      </c>
      <c r="C1793" t="s">
        <v>123</v>
      </c>
      <c r="D1793" t="s">
        <v>5</v>
      </c>
      <c r="E1793" t="s">
        <v>205</v>
      </c>
      <c r="F1793">
        <v>750</v>
      </c>
      <c r="H1793">
        <f t="shared" si="62"/>
        <v>2</v>
      </c>
      <c r="I1793">
        <f t="shared" si="63"/>
        <v>2022</v>
      </c>
    </row>
    <row r="1794" spans="1:9" x14ac:dyDescent="0.3">
      <c r="A1794" s="1">
        <v>44615</v>
      </c>
      <c r="B1794" t="s">
        <v>3</v>
      </c>
      <c r="G1794">
        <v>7960</v>
      </c>
      <c r="H1794">
        <f t="shared" si="62"/>
        <v>2</v>
      </c>
      <c r="I1794">
        <f t="shared" si="63"/>
        <v>2022</v>
      </c>
    </row>
    <row r="1795" spans="1:9" x14ac:dyDescent="0.3">
      <c r="A1795" s="1">
        <v>44615</v>
      </c>
      <c r="B1795" t="s">
        <v>3</v>
      </c>
      <c r="C1795" t="s">
        <v>98</v>
      </c>
      <c r="D1795" t="s">
        <v>23</v>
      </c>
      <c r="E1795" t="s">
        <v>390</v>
      </c>
      <c r="F1795">
        <v>1600</v>
      </c>
      <c r="H1795">
        <f t="shared" si="62"/>
        <v>2</v>
      </c>
      <c r="I1795">
        <f t="shared" si="63"/>
        <v>2022</v>
      </c>
    </row>
    <row r="1796" spans="1:9" x14ac:dyDescent="0.3">
      <c r="A1796" s="1">
        <v>44615</v>
      </c>
      <c r="B1796" t="s">
        <v>3</v>
      </c>
      <c r="C1796" t="s">
        <v>98</v>
      </c>
      <c r="D1796" t="s">
        <v>93</v>
      </c>
      <c r="E1796" t="s">
        <v>26</v>
      </c>
      <c r="F1796">
        <v>2120</v>
      </c>
      <c r="H1796">
        <f t="shared" si="62"/>
        <v>2</v>
      </c>
      <c r="I1796">
        <f t="shared" si="63"/>
        <v>2022</v>
      </c>
    </row>
    <row r="1797" spans="1:9" x14ac:dyDescent="0.3">
      <c r="A1797" s="1">
        <v>44615</v>
      </c>
      <c r="B1797" t="s">
        <v>3</v>
      </c>
      <c r="C1797" t="s">
        <v>98</v>
      </c>
      <c r="D1797" t="s">
        <v>59</v>
      </c>
      <c r="E1797" t="s">
        <v>26</v>
      </c>
      <c r="F1797">
        <v>4240</v>
      </c>
      <c r="H1797">
        <f t="shared" si="62"/>
        <v>2</v>
      </c>
      <c r="I1797">
        <f t="shared" si="63"/>
        <v>2022</v>
      </c>
    </row>
    <row r="1798" spans="1:9" x14ac:dyDescent="0.3">
      <c r="A1798" s="1">
        <v>44615</v>
      </c>
      <c r="B1798" t="s">
        <v>88</v>
      </c>
      <c r="G1798">
        <v>780</v>
      </c>
      <c r="H1798">
        <f t="shared" si="62"/>
        <v>2</v>
      </c>
      <c r="I1798">
        <f t="shared" si="63"/>
        <v>2022</v>
      </c>
    </row>
    <row r="1799" spans="1:9" x14ac:dyDescent="0.3">
      <c r="A1799" s="1">
        <v>44615</v>
      </c>
      <c r="B1799" t="s">
        <v>88</v>
      </c>
      <c r="C1799" t="s">
        <v>123</v>
      </c>
      <c r="D1799" t="s">
        <v>5</v>
      </c>
      <c r="E1799" t="s">
        <v>199</v>
      </c>
      <c r="F1799">
        <v>780</v>
      </c>
      <c r="H1799">
        <f t="shared" si="62"/>
        <v>2</v>
      </c>
      <c r="I1799">
        <f t="shared" si="63"/>
        <v>2022</v>
      </c>
    </row>
    <row r="1800" spans="1:9" x14ac:dyDescent="0.3">
      <c r="A1800" s="1">
        <v>44615</v>
      </c>
      <c r="B1800" t="s">
        <v>48</v>
      </c>
      <c r="G1800">
        <v>6400</v>
      </c>
      <c r="H1800">
        <f t="shared" si="62"/>
        <v>2</v>
      </c>
      <c r="I1800">
        <f t="shared" si="63"/>
        <v>2022</v>
      </c>
    </row>
    <row r="1801" spans="1:9" x14ac:dyDescent="0.3">
      <c r="A1801" s="1">
        <v>44615</v>
      </c>
      <c r="B1801" t="s">
        <v>48</v>
      </c>
      <c r="C1801" t="s">
        <v>40</v>
      </c>
      <c r="D1801" t="s">
        <v>9</v>
      </c>
      <c r="E1801" t="s">
        <v>90</v>
      </c>
      <c r="F1801">
        <v>6400</v>
      </c>
      <c r="H1801">
        <f t="shared" si="62"/>
        <v>2</v>
      </c>
      <c r="I1801">
        <f t="shared" si="63"/>
        <v>2022</v>
      </c>
    </row>
    <row r="1802" spans="1:9" x14ac:dyDescent="0.3">
      <c r="A1802" s="1">
        <v>44615</v>
      </c>
      <c r="B1802" t="s">
        <v>50</v>
      </c>
      <c r="G1802">
        <v>7080</v>
      </c>
      <c r="H1802">
        <f t="shared" si="62"/>
        <v>2</v>
      </c>
      <c r="I1802">
        <f t="shared" si="63"/>
        <v>2022</v>
      </c>
    </row>
    <row r="1803" spans="1:9" x14ac:dyDescent="0.3">
      <c r="A1803" s="1">
        <v>44615</v>
      </c>
      <c r="B1803" t="s">
        <v>50</v>
      </c>
      <c r="C1803" t="s">
        <v>359</v>
      </c>
      <c r="D1803" t="s">
        <v>16</v>
      </c>
      <c r="E1803" t="s">
        <v>77</v>
      </c>
      <c r="F1803">
        <v>7080</v>
      </c>
      <c r="H1803">
        <f t="shared" si="62"/>
        <v>2</v>
      </c>
      <c r="I1803">
        <f t="shared" si="63"/>
        <v>2022</v>
      </c>
    </row>
    <row r="1804" spans="1:9" x14ac:dyDescent="0.3">
      <c r="A1804" s="1">
        <v>44615</v>
      </c>
      <c r="B1804" t="s">
        <v>45</v>
      </c>
      <c r="G1804">
        <v>1180</v>
      </c>
      <c r="H1804">
        <f t="shared" si="62"/>
        <v>2</v>
      </c>
      <c r="I1804">
        <f t="shared" si="63"/>
        <v>2022</v>
      </c>
    </row>
    <row r="1805" spans="1:9" x14ac:dyDescent="0.3">
      <c r="A1805" s="1">
        <v>44615</v>
      </c>
      <c r="B1805" t="s">
        <v>45</v>
      </c>
      <c r="C1805" t="s">
        <v>359</v>
      </c>
      <c r="D1805" t="s">
        <v>12</v>
      </c>
      <c r="E1805" t="s">
        <v>77</v>
      </c>
      <c r="F1805">
        <v>1180</v>
      </c>
      <c r="H1805">
        <f t="shared" si="62"/>
        <v>2</v>
      </c>
      <c r="I1805">
        <f t="shared" si="63"/>
        <v>2022</v>
      </c>
    </row>
    <row r="1806" spans="1:9" x14ac:dyDescent="0.3">
      <c r="A1806" s="1">
        <v>44615</v>
      </c>
      <c r="B1806" t="s">
        <v>75</v>
      </c>
      <c r="G1806">
        <v>8260</v>
      </c>
      <c r="H1806">
        <f t="shared" si="62"/>
        <v>2</v>
      </c>
      <c r="I1806">
        <f t="shared" si="63"/>
        <v>2022</v>
      </c>
    </row>
    <row r="1807" spans="1:9" x14ac:dyDescent="0.3">
      <c r="A1807" s="1">
        <v>44615</v>
      </c>
      <c r="B1807" t="s">
        <v>75</v>
      </c>
      <c r="C1807" t="s">
        <v>359</v>
      </c>
      <c r="D1807" t="s">
        <v>139</v>
      </c>
      <c r="E1807" t="s">
        <v>77</v>
      </c>
      <c r="F1807">
        <v>8260</v>
      </c>
      <c r="H1807">
        <f t="shared" si="62"/>
        <v>2</v>
      </c>
      <c r="I1807">
        <f t="shared" si="63"/>
        <v>2022</v>
      </c>
    </row>
    <row r="1808" spans="1:9" x14ac:dyDescent="0.3">
      <c r="A1808" s="1">
        <v>44615</v>
      </c>
      <c r="B1808" t="s">
        <v>83</v>
      </c>
      <c r="G1808">
        <v>5900</v>
      </c>
      <c r="H1808">
        <f t="shared" si="62"/>
        <v>2</v>
      </c>
      <c r="I1808">
        <f t="shared" si="63"/>
        <v>2022</v>
      </c>
    </row>
    <row r="1809" spans="1:9" x14ac:dyDescent="0.3">
      <c r="A1809" s="1">
        <v>44615</v>
      </c>
      <c r="B1809" t="s">
        <v>83</v>
      </c>
      <c r="C1809" t="s">
        <v>359</v>
      </c>
      <c r="D1809" t="s">
        <v>37</v>
      </c>
      <c r="E1809" t="s">
        <v>77</v>
      </c>
      <c r="F1809">
        <v>5900</v>
      </c>
      <c r="H1809">
        <f t="shared" si="62"/>
        <v>2</v>
      </c>
      <c r="I1809">
        <f t="shared" si="63"/>
        <v>2022</v>
      </c>
    </row>
    <row r="1810" spans="1:9" x14ac:dyDescent="0.3">
      <c r="A1810" s="1">
        <v>44615</v>
      </c>
      <c r="B1810" t="s">
        <v>45</v>
      </c>
      <c r="G1810">
        <v>8850</v>
      </c>
      <c r="H1810">
        <f t="shared" si="62"/>
        <v>2</v>
      </c>
      <c r="I1810">
        <f t="shared" si="63"/>
        <v>2022</v>
      </c>
    </row>
    <row r="1811" spans="1:9" x14ac:dyDescent="0.3">
      <c r="A1811" s="1">
        <v>44615</v>
      </c>
      <c r="B1811" t="s">
        <v>45</v>
      </c>
      <c r="C1811" t="s">
        <v>359</v>
      </c>
      <c r="D1811" t="s">
        <v>61</v>
      </c>
      <c r="E1811" t="s">
        <v>77</v>
      </c>
      <c r="F1811">
        <v>8850</v>
      </c>
      <c r="H1811">
        <f t="shared" si="62"/>
        <v>2</v>
      </c>
      <c r="I1811">
        <f t="shared" si="63"/>
        <v>2022</v>
      </c>
    </row>
    <row r="1812" spans="1:9" x14ac:dyDescent="0.3">
      <c r="A1812" s="1">
        <v>44615</v>
      </c>
      <c r="B1812" t="s">
        <v>8</v>
      </c>
      <c r="G1812">
        <v>17700</v>
      </c>
      <c r="H1812">
        <f t="shared" si="62"/>
        <v>2</v>
      </c>
      <c r="I1812">
        <f t="shared" si="63"/>
        <v>2022</v>
      </c>
    </row>
    <row r="1813" spans="1:9" x14ac:dyDescent="0.3">
      <c r="A1813" s="1">
        <v>44615</v>
      </c>
      <c r="B1813" t="s">
        <v>8</v>
      </c>
      <c r="C1813" t="s">
        <v>359</v>
      </c>
      <c r="D1813" t="s">
        <v>39</v>
      </c>
      <c r="E1813" t="s">
        <v>77</v>
      </c>
      <c r="F1813">
        <v>17700</v>
      </c>
      <c r="H1813">
        <f t="shared" si="62"/>
        <v>2</v>
      </c>
      <c r="I1813">
        <f t="shared" si="63"/>
        <v>2022</v>
      </c>
    </row>
    <row r="1814" spans="1:9" x14ac:dyDescent="0.3">
      <c r="A1814" s="1">
        <v>44615</v>
      </c>
      <c r="B1814" t="s">
        <v>50</v>
      </c>
      <c r="G1814">
        <v>12390</v>
      </c>
      <c r="H1814">
        <f t="shared" si="62"/>
        <v>2</v>
      </c>
      <c r="I1814">
        <f t="shared" si="63"/>
        <v>2022</v>
      </c>
    </row>
    <row r="1815" spans="1:9" x14ac:dyDescent="0.3">
      <c r="A1815" s="1">
        <v>44615</v>
      </c>
      <c r="B1815" t="s">
        <v>50</v>
      </c>
      <c r="C1815" t="s">
        <v>359</v>
      </c>
      <c r="D1815" t="s">
        <v>391</v>
      </c>
      <c r="E1815" t="s">
        <v>77</v>
      </c>
      <c r="F1815">
        <v>12390</v>
      </c>
      <c r="H1815">
        <f t="shared" si="62"/>
        <v>2</v>
      </c>
      <c r="I1815">
        <f t="shared" si="63"/>
        <v>2022</v>
      </c>
    </row>
    <row r="1816" spans="1:9" x14ac:dyDescent="0.3">
      <c r="A1816" s="1">
        <v>44615</v>
      </c>
      <c r="B1816" t="s">
        <v>234</v>
      </c>
      <c r="G1816">
        <v>24570</v>
      </c>
      <c r="H1816">
        <f t="shared" si="62"/>
        <v>2</v>
      </c>
      <c r="I1816">
        <f t="shared" si="63"/>
        <v>2022</v>
      </c>
    </row>
    <row r="1817" spans="1:9" x14ac:dyDescent="0.3">
      <c r="A1817" s="1">
        <v>44615</v>
      </c>
      <c r="B1817" t="s">
        <v>234</v>
      </c>
      <c r="C1817" t="s">
        <v>40</v>
      </c>
      <c r="D1817" t="s">
        <v>9</v>
      </c>
      <c r="E1817" t="s">
        <v>104</v>
      </c>
      <c r="F1817">
        <v>6600</v>
      </c>
      <c r="H1817">
        <f t="shared" si="62"/>
        <v>2</v>
      </c>
      <c r="I1817">
        <f t="shared" si="63"/>
        <v>2022</v>
      </c>
    </row>
    <row r="1818" spans="1:9" x14ac:dyDescent="0.3">
      <c r="A1818" s="1">
        <v>44615</v>
      </c>
      <c r="B1818" t="s">
        <v>234</v>
      </c>
      <c r="C1818" t="s">
        <v>94</v>
      </c>
      <c r="D1818" t="s">
        <v>288</v>
      </c>
      <c r="E1818" t="s">
        <v>264</v>
      </c>
      <c r="F1818">
        <v>6800</v>
      </c>
      <c r="H1818">
        <f t="shared" si="62"/>
        <v>2</v>
      </c>
      <c r="I1818">
        <f t="shared" si="63"/>
        <v>2022</v>
      </c>
    </row>
    <row r="1819" spans="1:9" x14ac:dyDescent="0.3">
      <c r="A1819" s="1">
        <v>44615</v>
      </c>
      <c r="B1819" t="s">
        <v>234</v>
      </c>
      <c r="C1819" t="s">
        <v>38</v>
      </c>
      <c r="D1819" t="s">
        <v>93</v>
      </c>
      <c r="E1819" t="s">
        <v>212</v>
      </c>
      <c r="F1819">
        <v>1660</v>
      </c>
      <c r="H1819">
        <f t="shared" si="62"/>
        <v>2</v>
      </c>
      <c r="I1819">
        <f t="shared" si="63"/>
        <v>2022</v>
      </c>
    </row>
    <row r="1820" spans="1:9" x14ac:dyDescent="0.3">
      <c r="A1820" s="1">
        <v>44615</v>
      </c>
      <c r="B1820" t="s">
        <v>234</v>
      </c>
      <c r="C1820" t="s">
        <v>364</v>
      </c>
      <c r="D1820" t="s">
        <v>93</v>
      </c>
      <c r="E1820" t="s">
        <v>13</v>
      </c>
      <c r="F1820">
        <v>1380</v>
      </c>
      <c r="H1820">
        <f t="shared" si="62"/>
        <v>2</v>
      </c>
      <c r="I1820">
        <f t="shared" si="63"/>
        <v>2022</v>
      </c>
    </row>
    <row r="1821" spans="1:9" x14ac:dyDescent="0.3">
      <c r="A1821" s="1">
        <v>44615</v>
      </c>
      <c r="B1821" t="s">
        <v>234</v>
      </c>
      <c r="C1821" t="s">
        <v>324</v>
      </c>
      <c r="D1821" t="s">
        <v>93</v>
      </c>
      <c r="E1821" t="s">
        <v>13</v>
      </c>
      <c r="F1821">
        <v>1380</v>
      </c>
      <c r="H1821">
        <f t="shared" si="62"/>
        <v>2</v>
      </c>
      <c r="I1821">
        <f t="shared" si="63"/>
        <v>2022</v>
      </c>
    </row>
    <row r="1822" spans="1:9" x14ac:dyDescent="0.3">
      <c r="A1822" s="1">
        <v>44615</v>
      </c>
      <c r="B1822" t="s">
        <v>234</v>
      </c>
      <c r="C1822" t="s">
        <v>98</v>
      </c>
      <c r="D1822" t="s">
        <v>37</v>
      </c>
      <c r="E1822" t="s">
        <v>14</v>
      </c>
      <c r="F1822">
        <v>5350</v>
      </c>
      <c r="H1822">
        <f t="shared" si="62"/>
        <v>2</v>
      </c>
      <c r="I1822">
        <f t="shared" si="63"/>
        <v>2022</v>
      </c>
    </row>
    <row r="1823" spans="1:9" x14ac:dyDescent="0.3">
      <c r="A1823" s="1">
        <v>44615</v>
      </c>
      <c r="B1823" t="s">
        <v>234</v>
      </c>
      <c r="C1823" t="s">
        <v>142</v>
      </c>
      <c r="D1823" t="s">
        <v>5</v>
      </c>
      <c r="E1823" t="s">
        <v>156</v>
      </c>
      <c r="F1823">
        <v>500</v>
      </c>
      <c r="H1823">
        <f t="shared" ref="H1823:H1885" si="64">MONTH(A1823)</f>
        <v>2</v>
      </c>
      <c r="I1823">
        <f t="shared" ref="I1823:I1885" si="65">YEAR(A1823)</f>
        <v>2022</v>
      </c>
    </row>
    <row r="1824" spans="1:9" x14ac:dyDescent="0.3">
      <c r="A1824" s="1">
        <v>44615</v>
      </c>
      <c r="B1824" t="s">
        <v>234</v>
      </c>
      <c r="C1824" t="s">
        <v>108</v>
      </c>
      <c r="D1824" t="s">
        <v>12</v>
      </c>
      <c r="E1824" t="s">
        <v>119</v>
      </c>
      <c r="F1824">
        <v>600</v>
      </c>
      <c r="H1824">
        <f t="shared" si="64"/>
        <v>2</v>
      </c>
      <c r="I1824">
        <f t="shared" si="65"/>
        <v>2022</v>
      </c>
    </row>
    <row r="1825" spans="1:9" x14ac:dyDescent="0.3">
      <c r="A1825" s="1">
        <v>44615</v>
      </c>
      <c r="B1825" t="s">
        <v>234</v>
      </c>
      <c r="C1825" t="s">
        <v>133</v>
      </c>
      <c r="D1825" t="s">
        <v>5</v>
      </c>
      <c r="E1825" t="s">
        <v>119</v>
      </c>
      <c r="F1825">
        <v>300</v>
      </c>
      <c r="H1825">
        <f t="shared" si="64"/>
        <v>2</v>
      </c>
      <c r="I1825">
        <f t="shared" si="65"/>
        <v>2022</v>
      </c>
    </row>
    <row r="1826" spans="1:9" x14ac:dyDescent="0.3">
      <c r="A1826" s="1">
        <v>44617</v>
      </c>
      <c r="B1826" t="s">
        <v>380</v>
      </c>
      <c r="G1826">
        <v>31650</v>
      </c>
      <c r="H1826">
        <f t="shared" si="64"/>
        <v>2</v>
      </c>
      <c r="I1826">
        <f t="shared" si="65"/>
        <v>2022</v>
      </c>
    </row>
    <row r="1827" spans="1:9" x14ac:dyDescent="0.3">
      <c r="A1827" s="1">
        <v>44617</v>
      </c>
      <c r="B1827" t="s">
        <v>380</v>
      </c>
      <c r="C1827" t="s">
        <v>40</v>
      </c>
      <c r="D1827" t="s">
        <v>52</v>
      </c>
      <c r="E1827" t="s">
        <v>224</v>
      </c>
      <c r="F1827">
        <v>15750</v>
      </c>
      <c r="H1827">
        <f t="shared" si="64"/>
        <v>2</v>
      </c>
      <c r="I1827">
        <f t="shared" si="65"/>
        <v>2022</v>
      </c>
    </row>
    <row r="1828" spans="1:9" x14ac:dyDescent="0.3">
      <c r="A1828" s="1">
        <v>44617</v>
      </c>
      <c r="B1828" t="s">
        <v>380</v>
      </c>
      <c r="C1828" t="s">
        <v>98</v>
      </c>
      <c r="D1828" t="s">
        <v>39</v>
      </c>
      <c r="E1828" t="s">
        <v>26</v>
      </c>
      <c r="F1828">
        <v>15900</v>
      </c>
      <c r="H1828">
        <f t="shared" si="64"/>
        <v>2</v>
      </c>
      <c r="I1828">
        <f t="shared" si="65"/>
        <v>2022</v>
      </c>
    </row>
    <row r="1829" spans="1:9" x14ac:dyDescent="0.3">
      <c r="A1829" s="1">
        <v>44617</v>
      </c>
      <c r="B1829" t="s">
        <v>48</v>
      </c>
      <c r="G1829">
        <v>1600</v>
      </c>
      <c r="H1829">
        <f t="shared" si="64"/>
        <v>2</v>
      </c>
      <c r="I1829">
        <f t="shared" si="65"/>
        <v>2022</v>
      </c>
    </row>
    <row r="1830" spans="1:9" x14ac:dyDescent="0.3">
      <c r="A1830" s="1">
        <v>44617</v>
      </c>
      <c r="B1830" t="s">
        <v>48</v>
      </c>
      <c r="C1830" t="s">
        <v>40</v>
      </c>
      <c r="D1830" t="s">
        <v>25</v>
      </c>
      <c r="E1830" t="s">
        <v>90</v>
      </c>
      <c r="F1830">
        <v>1600</v>
      </c>
      <c r="H1830">
        <f t="shared" si="64"/>
        <v>2</v>
      </c>
      <c r="I1830">
        <f t="shared" si="65"/>
        <v>2022</v>
      </c>
    </row>
    <row r="1831" spans="1:9" x14ac:dyDescent="0.3">
      <c r="A1831" s="1">
        <v>44617</v>
      </c>
      <c r="B1831" t="s">
        <v>378</v>
      </c>
      <c r="G1831">
        <v>6180</v>
      </c>
      <c r="H1831">
        <f t="shared" si="64"/>
        <v>2</v>
      </c>
      <c r="I1831">
        <f t="shared" si="65"/>
        <v>2022</v>
      </c>
    </row>
    <row r="1832" spans="1:9" x14ac:dyDescent="0.3">
      <c r="A1832" s="1">
        <v>44617</v>
      </c>
      <c r="B1832" t="s">
        <v>378</v>
      </c>
      <c r="C1832" t="s">
        <v>338</v>
      </c>
      <c r="D1832" t="s">
        <v>16</v>
      </c>
      <c r="E1832" t="s">
        <v>81</v>
      </c>
      <c r="F1832">
        <v>6180</v>
      </c>
      <c r="H1832">
        <f t="shared" si="64"/>
        <v>2</v>
      </c>
      <c r="I1832">
        <f t="shared" si="65"/>
        <v>2022</v>
      </c>
    </row>
    <row r="1833" spans="1:9" x14ac:dyDescent="0.3">
      <c r="A1833" s="1">
        <v>44617</v>
      </c>
      <c r="B1833" t="s">
        <v>36</v>
      </c>
      <c r="G1833">
        <v>3150</v>
      </c>
      <c r="H1833">
        <f t="shared" si="64"/>
        <v>2</v>
      </c>
      <c r="I1833">
        <f t="shared" si="65"/>
        <v>2022</v>
      </c>
    </row>
    <row r="1834" spans="1:9" x14ac:dyDescent="0.3">
      <c r="A1834" s="1">
        <v>44617</v>
      </c>
      <c r="B1834" t="s">
        <v>36</v>
      </c>
      <c r="C1834" t="s">
        <v>40</v>
      </c>
      <c r="D1834" t="s">
        <v>37</v>
      </c>
      <c r="E1834" t="s">
        <v>224</v>
      </c>
      <c r="F1834">
        <v>3150</v>
      </c>
      <c r="H1834">
        <f t="shared" si="64"/>
        <v>2</v>
      </c>
      <c r="I1834">
        <f t="shared" si="65"/>
        <v>2022</v>
      </c>
    </row>
    <row r="1835" spans="1:9" x14ac:dyDescent="0.3">
      <c r="A1835" s="1">
        <v>44617</v>
      </c>
      <c r="B1835" t="s">
        <v>82</v>
      </c>
      <c r="G1835">
        <v>2140</v>
      </c>
      <c r="H1835">
        <f t="shared" si="64"/>
        <v>2</v>
      </c>
      <c r="I1835">
        <f t="shared" si="65"/>
        <v>2022</v>
      </c>
    </row>
    <row r="1836" spans="1:9" x14ac:dyDescent="0.3">
      <c r="A1836" s="1">
        <v>44617</v>
      </c>
      <c r="B1836" t="s">
        <v>82</v>
      </c>
      <c r="C1836" t="s">
        <v>40</v>
      </c>
      <c r="D1836" t="s">
        <v>23</v>
      </c>
      <c r="E1836" t="s">
        <v>90</v>
      </c>
      <c r="F1836">
        <v>960</v>
      </c>
      <c r="H1836">
        <f t="shared" si="64"/>
        <v>2</v>
      </c>
      <c r="I1836">
        <f t="shared" si="65"/>
        <v>2022</v>
      </c>
    </row>
    <row r="1837" spans="1:9" x14ac:dyDescent="0.3">
      <c r="A1837" s="1">
        <v>44617</v>
      </c>
      <c r="B1837" t="s">
        <v>82</v>
      </c>
      <c r="C1837" t="s">
        <v>359</v>
      </c>
      <c r="D1837" t="s">
        <v>12</v>
      </c>
      <c r="E1837" t="s">
        <v>77</v>
      </c>
      <c r="F1837">
        <v>1180</v>
      </c>
      <c r="H1837">
        <f t="shared" si="64"/>
        <v>2</v>
      </c>
      <c r="I1837">
        <f t="shared" si="65"/>
        <v>2022</v>
      </c>
    </row>
    <row r="1838" spans="1:9" x14ac:dyDescent="0.3">
      <c r="A1838" s="1">
        <v>44618</v>
      </c>
      <c r="B1838" t="s">
        <v>3</v>
      </c>
      <c r="G1838">
        <v>6040</v>
      </c>
      <c r="H1838">
        <f t="shared" si="64"/>
        <v>2</v>
      </c>
      <c r="I1838">
        <f t="shared" si="65"/>
        <v>2022</v>
      </c>
    </row>
    <row r="1839" spans="1:9" x14ac:dyDescent="0.3">
      <c r="A1839" s="1">
        <v>44618</v>
      </c>
      <c r="B1839" t="s">
        <v>3</v>
      </c>
      <c r="C1839" t="s">
        <v>98</v>
      </c>
      <c r="D1839" t="s">
        <v>37</v>
      </c>
      <c r="E1839" t="s">
        <v>26</v>
      </c>
      <c r="F1839">
        <v>5300</v>
      </c>
      <c r="H1839">
        <f t="shared" si="64"/>
        <v>2</v>
      </c>
      <c r="I1839">
        <f t="shared" si="65"/>
        <v>2022</v>
      </c>
    </row>
    <row r="1840" spans="1:9" x14ac:dyDescent="0.3">
      <c r="A1840" s="1">
        <v>44618</v>
      </c>
      <c r="B1840" t="s">
        <v>3</v>
      </c>
      <c r="C1840" t="s">
        <v>198</v>
      </c>
      <c r="D1840" t="s">
        <v>23</v>
      </c>
      <c r="E1840" t="s">
        <v>392</v>
      </c>
      <c r="F1840">
        <v>420</v>
      </c>
      <c r="H1840">
        <f t="shared" si="64"/>
        <v>2</v>
      </c>
      <c r="I1840">
        <f t="shared" si="65"/>
        <v>2022</v>
      </c>
    </row>
    <row r="1841" spans="1:9" x14ac:dyDescent="0.3">
      <c r="A1841" s="1">
        <v>44618</v>
      </c>
      <c r="B1841" t="s">
        <v>3</v>
      </c>
      <c r="C1841" t="s">
        <v>235</v>
      </c>
      <c r="D1841" t="s">
        <v>12</v>
      </c>
      <c r="E1841" t="s">
        <v>92</v>
      </c>
      <c r="F1841">
        <v>320</v>
      </c>
      <c r="H1841">
        <f t="shared" si="64"/>
        <v>2</v>
      </c>
      <c r="I1841">
        <f t="shared" si="65"/>
        <v>2022</v>
      </c>
    </row>
    <row r="1842" spans="1:9" x14ac:dyDescent="0.3">
      <c r="A1842" s="1">
        <v>44620</v>
      </c>
      <c r="B1842" t="s">
        <v>97</v>
      </c>
      <c r="G1842">
        <v>9530</v>
      </c>
      <c r="H1842">
        <f t="shared" si="64"/>
        <v>2</v>
      </c>
      <c r="I1842">
        <f t="shared" si="65"/>
        <v>2022</v>
      </c>
    </row>
    <row r="1843" spans="1:9" x14ac:dyDescent="0.3">
      <c r="A1843" s="1">
        <v>44620</v>
      </c>
      <c r="B1843" t="s">
        <v>97</v>
      </c>
      <c r="C1843" t="s">
        <v>40</v>
      </c>
      <c r="D1843" t="s">
        <v>25</v>
      </c>
      <c r="E1843" t="s">
        <v>104</v>
      </c>
      <c r="F1843">
        <v>1650</v>
      </c>
      <c r="H1843">
        <f t="shared" si="64"/>
        <v>2</v>
      </c>
      <c r="I1843">
        <f t="shared" si="65"/>
        <v>2022</v>
      </c>
    </row>
    <row r="1844" spans="1:9" x14ac:dyDescent="0.3">
      <c r="A1844" s="1">
        <v>44620</v>
      </c>
      <c r="B1844" t="s">
        <v>97</v>
      </c>
      <c r="C1844" t="s">
        <v>98</v>
      </c>
      <c r="D1844" t="s">
        <v>25</v>
      </c>
      <c r="E1844" t="s">
        <v>69</v>
      </c>
      <c r="F1844">
        <v>2750</v>
      </c>
      <c r="H1844">
        <f t="shared" si="64"/>
        <v>2</v>
      </c>
      <c r="I1844">
        <f t="shared" si="65"/>
        <v>2022</v>
      </c>
    </row>
    <row r="1845" spans="1:9" x14ac:dyDescent="0.3">
      <c r="A1845" s="1">
        <v>44620</v>
      </c>
      <c r="B1845" t="s">
        <v>97</v>
      </c>
      <c r="C1845" t="s">
        <v>389</v>
      </c>
      <c r="D1845" t="s">
        <v>5</v>
      </c>
      <c r="E1845" t="s">
        <v>104</v>
      </c>
      <c r="F1845">
        <v>330</v>
      </c>
      <c r="H1845">
        <f t="shared" si="64"/>
        <v>2</v>
      </c>
      <c r="I1845">
        <f t="shared" si="65"/>
        <v>2022</v>
      </c>
    </row>
    <row r="1846" spans="1:9" x14ac:dyDescent="0.3">
      <c r="A1846" s="1">
        <v>44620</v>
      </c>
      <c r="B1846" t="s">
        <v>97</v>
      </c>
      <c r="C1846" t="s">
        <v>324</v>
      </c>
      <c r="D1846" t="s">
        <v>93</v>
      </c>
      <c r="E1846" t="s">
        <v>100</v>
      </c>
      <c r="F1846">
        <v>1400</v>
      </c>
      <c r="H1846">
        <f t="shared" si="64"/>
        <v>2</v>
      </c>
      <c r="I1846">
        <f t="shared" si="65"/>
        <v>2022</v>
      </c>
    </row>
    <row r="1847" spans="1:9" x14ac:dyDescent="0.3">
      <c r="A1847" s="1">
        <v>44620</v>
      </c>
      <c r="B1847" t="s">
        <v>97</v>
      </c>
      <c r="C1847" t="s">
        <v>94</v>
      </c>
      <c r="D1847" t="s">
        <v>251</v>
      </c>
      <c r="E1847" t="s">
        <v>264</v>
      </c>
      <c r="F1847">
        <v>3400</v>
      </c>
      <c r="H1847">
        <f t="shared" si="64"/>
        <v>2</v>
      </c>
      <c r="I1847">
        <f t="shared" si="65"/>
        <v>2022</v>
      </c>
    </row>
    <row r="1848" spans="1:9" x14ac:dyDescent="0.3">
      <c r="A1848" s="1">
        <v>44620</v>
      </c>
      <c r="B1848" t="s">
        <v>51</v>
      </c>
      <c r="G1848">
        <v>1575</v>
      </c>
      <c r="H1848">
        <f t="shared" si="64"/>
        <v>2</v>
      </c>
      <c r="I1848">
        <f t="shared" si="65"/>
        <v>2022</v>
      </c>
    </row>
    <row r="1849" spans="1:9" x14ac:dyDescent="0.3">
      <c r="A1849" s="1">
        <v>44620</v>
      </c>
      <c r="B1849" t="s">
        <v>51</v>
      </c>
      <c r="C1849" t="s">
        <v>40</v>
      </c>
      <c r="D1849" t="s">
        <v>25</v>
      </c>
      <c r="E1849" t="s">
        <v>224</v>
      </c>
      <c r="F1849">
        <v>1575</v>
      </c>
      <c r="H1849">
        <f t="shared" si="64"/>
        <v>2</v>
      </c>
      <c r="I1849">
        <f t="shared" si="65"/>
        <v>2022</v>
      </c>
    </row>
    <row r="1850" spans="1:9" x14ac:dyDescent="0.3">
      <c r="A1850" s="1">
        <v>44620</v>
      </c>
      <c r="B1850" t="s">
        <v>51</v>
      </c>
      <c r="G1850">
        <v>63000</v>
      </c>
      <c r="H1850">
        <f t="shared" si="64"/>
        <v>2</v>
      </c>
      <c r="I1850">
        <f t="shared" si="65"/>
        <v>2022</v>
      </c>
    </row>
    <row r="1851" spans="1:9" x14ac:dyDescent="0.3">
      <c r="A1851" s="1">
        <v>44620</v>
      </c>
      <c r="B1851" t="s">
        <v>51</v>
      </c>
      <c r="C1851" t="s">
        <v>40</v>
      </c>
      <c r="D1851" t="s">
        <v>393</v>
      </c>
      <c r="E1851" t="s">
        <v>224</v>
      </c>
      <c r="F1851">
        <v>63000</v>
      </c>
      <c r="H1851">
        <f t="shared" si="64"/>
        <v>2</v>
      </c>
      <c r="I1851">
        <f t="shared" si="65"/>
        <v>2022</v>
      </c>
    </row>
    <row r="1852" spans="1:9" x14ac:dyDescent="0.3">
      <c r="A1852" s="1">
        <v>44620</v>
      </c>
      <c r="B1852" t="s">
        <v>82</v>
      </c>
      <c r="G1852">
        <v>31500</v>
      </c>
      <c r="H1852">
        <f t="shared" si="64"/>
        <v>2</v>
      </c>
      <c r="I1852">
        <f t="shared" si="65"/>
        <v>2022</v>
      </c>
    </row>
    <row r="1853" spans="1:9" x14ac:dyDescent="0.3">
      <c r="A1853" s="1">
        <v>44620</v>
      </c>
      <c r="B1853" t="s">
        <v>82</v>
      </c>
      <c r="C1853" t="s">
        <v>40</v>
      </c>
      <c r="D1853" t="s">
        <v>65</v>
      </c>
      <c r="E1853" t="s">
        <v>224</v>
      </c>
      <c r="F1853">
        <v>31500</v>
      </c>
      <c r="H1853">
        <f t="shared" si="64"/>
        <v>2</v>
      </c>
      <c r="I1853">
        <f t="shared" si="65"/>
        <v>2022</v>
      </c>
    </row>
    <row r="1854" spans="1:9" x14ac:dyDescent="0.3">
      <c r="A1854" s="1">
        <v>44620</v>
      </c>
      <c r="B1854" t="s">
        <v>232</v>
      </c>
      <c r="G1854">
        <v>16000</v>
      </c>
      <c r="H1854">
        <f t="shared" si="64"/>
        <v>2</v>
      </c>
      <c r="I1854">
        <f t="shared" si="65"/>
        <v>2022</v>
      </c>
    </row>
    <row r="1855" spans="1:9" x14ac:dyDescent="0.3">
      <c r="A1855" s="1">
        <v>44620</v>
      </c>
      <c r="B1855" t="s">
        <v>232</v>
      </c>
      <c r="C1855" t="s">
        <v>40</v>
      </c>
      <c r="D1855" t="s">
        <v>52</v>
      </c>
      <c r="E1855" t="s">
        <v>90</v>
      </c>
      <c r="F1855">
        <v>16000</v>
      </c>
      <c r="H1855">
        <f t="shared" si="64"/>
        <v>2</v>
      </c>
      <c r="I1855">
        <f t="shared" si="65"/>
        <v>2022</v>
      </c>
    </row>
    <row r="1856" spans="1:9" x14ac:dyDescent="0.3">
      <c r="A1856" s="1">
        <v>44620</v>
      </c>
      <c r="B1856" t="s">
        <v>201</v>
      </c>
      <c r="G1856">
        <v>10480</v>
      </c>
      <c r="H1856">
        <f t="shared" si="64"/>
        <v>2</v>
      </c>
      <c r="I1856">
        <f t="shared" si="65"/>
        <v>2022</v>
      </c>
    </row>
    <row r="1857" spans="1:9" x14ac:dyDescent="0.3">
      <c r="A1857" s="1">
        <v>44620</v>
      </c>
      <c r="B1857" t="s">
        <v>201</v>
      </c>
      <c r="C1857" t="s">
        <v>40</v>
      </c>
      <c r="D1857" t="s">
        <v>39</v>
      </c>
      <c r="E1857" t="s">
        <v>60</v>
      </c>
      <c r="F1857">
        <v>9750</v>
      </c>
      <c r="H1857">
        <f t="shared" si="64"/>
        <v>2</v>
      </c>
      <c r="I1857">
        <f t="shared" si="65"/>
        <v>2022</v>
      </c>
    </row>
    <row r="1858" spans="1:9" x14ac:dyDescent="0.3">
      <c r="A1858" s="1">
        <v>44620</v>
      </c>
      <c r="B1858" t="s">
        <v>201</v>
      </c>
      <c r="C1858" t="s">
        <v>42</v>
      </c>
      <c r="D1858" t="s">
        <v>5</v>
      </c>
      <c r="E1858" t="s">
        <v>103</v>
      </c>
      <c r="F1858">
        <v>400</v>
      </c>
      <c r="H1858">
        <f t="shared" si="64"/>
        <v>2</v>
      </c>
      <c r="I1858">
        <f t="shared" si="65"/>
        <v>2022</v>
      </c>
    </row>
    <row r="1859" spans="1:9" x14ac:dyDescent="0.3">
      <c r="A1859" s="1">
        <v>44620</v>
      </c>
      <c r="B1859" t="s">
        <v>201</v>
      </c>
      <c r="C1859" t="s">
        <v>389</v>
      </c>
      <c r="D1859" t="s">
        <v>5</v>
      </c>
      <c r="E1859" t="s">
        <v>104</v>
      </c>
      <c r="F1859">
        <v>330</v>
      </c>
      <c r="H1859">
        <f t="shared" si="64"/>
        <v>2</v>
      </c>
      <c r="I1859">
        <f t="shared" si="65"/>
        <v>2022</v>
      </c>
    </row>
    <row r="1860" spans="1:9" x14ac:dyDescent="0.3">
      <c r="A1860" s="1">
        <v>44620</v>
      </c>
      <c r="B1860" t="s">
        <v>48</v>
      </c>
      <c r="G1860">
        <v>3200</v>
      </c>
      <c r="H1860">
        <f t="shared" si="64"/>
        <v>2</v>
      </c>
      <c r="I1860">
        <f t="shared" si="65"/>
        <v>2022</v>
      </c>
    </row>
    <row r="1861" spans="1:9" x14ac:dyDescent="0.3">
      <c r="A1861" s="1">
        <v>44620</v>
      </c>
      <c r="B1861" t="s">
        <v>48</v>
      </c>
      <c r="C1861" t="s">
        <v>40</v>
      </c>
      <c r="D1861" t="s">
        <v>37</v>
      </c>
      <c r="E1861" t="s">
        <v>90</v>
      </c>
      <c r="F1861">
        <v>3200</v>
      </c>
      <c r="H1861">
        <f t="shared" si="64"/>
        <v>2</v>
      </c>
      <c r="I1861">
        <f t="shared" si="65"/>
        <v>2022</v>
      </c>
    </row>
    <row r="1862" spans="1:9" x14ac:dyDescent="0.3">
      <c r="A1862" s="1">
        <v>44620</v>
      </c>
      <c r="B1862" t="s">
        <v>3</v>
      </c>
      <c r="G1862">
        <v>1860</v>
      </c>
      <c r="H1862">
        <f t="shared" si="64"/>
        <v>2</v>
      </c>
      <c r="I1862">
        <f t="shared" si="65"/>
        <v>2022</v>
      </c>
    </row>
    <row r="1863" spans="1:9" x14ac:dyDescent="0.3">
      <c r="A1863" s="1">
        <v>44620</v>
      </c>
      <c r="B1863" t="s">
        <v>3</v>
      </c>
      <c r="C1863" t="s">
        <v>394</v>
      </c>
      <c r="D1863" t="s">
        <v>5</v>
      </c>
      <c r="E1863" t="s">
        <v>257</v>
      </c>
      <c r="F1863">
        <v>865</v>
      </c>
      <c r="H1863">
        <f t="shared" si="64"/>
        <v>2</v>
      </c>
      <c r="I1863">
        <f t="shared" si="65"/>
        <v>2022</v>
      </c>
    </row>
    <row r="1864" spans="1:9" x14ac:dyDescent="0.3">
      <c r="A1864" s="1">
        <v>44620</v>
      </c>
      <c r="B1864" t="s">
        <v>3</v>
      </c>
      <c r="C1864" t="s">
        <v>123</v>
      </c>
      <c r="D1864" t="s">
        <v>5</v>
      </c>
      <c r="E1864" t="s">
        <v>237</v>
      </c>
      <c r="F1864">
        <v>790</v>
      </c>
      <c r="H1864">
        <f t="shared" si="64"/>
        <v>2</v>
      </c>
      <c r="I1864">
        <f t="shared" si="65"/>
        <v>2022</v>
      </c>
    </row>
    <row r="1865" spans="1:9" x14ac:dyDescent="0.3">
      <c r="A1865" s="1">
        <v>44620</v>
      </c>
      <c r="B1865" t="s">
        <v>3</v>
      </c>
      <c r="C1865" t="s">
        <v>19</v>
      </c>
      <c r="D1865" t="s">
        <v>12</v>
      </c>
      <c r="E1865" t="s">
        <v>207</v>
      </c>
      <c r="F1865">
        <v>200</v>
      </c>
      <c r="H1865">
        <f t="shared" si="64"/>
        <v>2</v>
      </c>
      <c r="I1865">
        <f t="shared" si="65"/>
        <v>2022</v>
      </c>
    </row>
    <row r="1866" spans="1:9" x14ac:dyDescent="0.3">
      <c r="A1866" s="1">
        <v>44620</v>
      </c>
      <c r="B1866" t="s">
        <v>162</v>
      </c>
      <c r="H1866">
        <f t="shared" si="64"/>
        <v>2</v>
      </c>
      <c r="I1866">
        <f t="shared" si="65"/>
        <v>2022</v>
      </c>
    </row>
    <row r="1867" spans="1:9" x14ac:dyDescent="0.3">
      <c r="A1867" s="1">
        <v>44621</v>
      </c>
      <c r="B1867" t="s">
        <v>234</v>
      </c>
      <c r="G1867">
        <v>38420</v>
      </c>
      <c r="H1867">
        <f t="shared" si="64"/>
        <v>3</v>
      </c>
      <c r="I1867">
        <f t="shared" si="65"/>
        <v>2022</v>
      </c>
    </row>
    <row r="1868" spans="1:9" x14ac:dyDescent="0.3">
      <c r="A1868" s="1">
        <v>44621</v>
      </c>
      <c r="B1868" t="s">
        <v>234</v>
      </c>
      <c r="C1868" t="s">
        <v>238</v>
      </c>
      <c r="D1868" t="s">
        <v>5</v>
      </c>
      <c r="E1868" t="s">
        <v>118</v>
      </c>
      <c r="F1868">
        <v>340</v>
      </c>
      <c r="H1868">
        <f t="shared" si="64"/>
        <v>3</v>
      </c>
      <c r="I1868">
        <f t="shared" si="65"/>
        <v>2022</v>
      </c>
    </row>
    <row r="1869" spans="1:9" x14ac:dyDescent="0.3">
      <c r="A1869" s="1">
        <v>44621</v>
      </c>
      <c r="B1869" t="s">
        <v>234</v>
      </c>
      <c r="C1869" t="s">
        <v>307</v>
      </c>
      <c r="D1869" t="s">
        <v>18</v>
      </c>
      <c r="E1869" t="s">
        <v>119</v>
      </c>
      <c r="F1869">
        <v>1800</v>
      </c>
      <c r="H1869">
        <f t="shared" si="64"/>
        <v>3</v>
      </c>
      <c r="I1869">
        <f t="shared" si="65"/>
        <v>2022</v>
      </c>
    </row>
    <row r="1870" spans="1:9" x14ac:dyDescent="0.3">
      <c r="A1870" s="1">
        <v>44621</v>
      </c>
      <c r="B1870" t="s">
        <v>234</v>
      </c>
      <c r="C1870" t="s">
        <v>123</v>
      </c>
      <c r="D1870" t="s">
        <v>12</v>
      </c>
      <c r="E1870" t="s">
        <v>170</v>
      </c>
      <c r="F1870">
        <v>1720</v>
      </c>
      <c r="H1870">
        <f t="shared" si="64"/>
        <v>3</v>
      </c>
      <c r="I1870">
        <f t="shared" si="65"/>
        <v>2022</v>
      </c>
    </row>
    <row r="1871" spans="1:9" x14ac:dyDescent="0.3">
      <c r="A1871" s="1">
        <v>44621</v>
      </c>
      <c r="B1871" t="s">
        <v>234</v>
      </c>
      <c r="C1871" t="s">
        <v>40</v>
      </c>
      <c r="D1871" t="s">
        <v>39</v>
      </c>
      <c r="E1871" t="s">
        <v>104</v>
      </c>
      <c r="F1871">
        <v>9900</v>
      </c>
      <c r="H1871">
        <f t="shared" si="64"/>
        <v>3</v>
      </c>
      <c r="I1871">
        <f t="shared" si="65"/>
        <v>2022</v>
      </c>
    </row>
    <row r="1872" spans="1:9" x14ac:dyDescent="0.3">
      <c r="A1872" s="1">
        <v>44621</v>
      </c>
      <c r="B1872" t="s">
        <v>234</v>
      </c>
      <c r="C1872" t="s">
        <v>111</v>
      </c>
      <c r="D1872" t="s">
        <v>66</v>
      </c>
      <c r="E1872" t="s">
        <v>119</v>
      </c>
      <c r="F1872">
        <v>3300</v>
      </c>
      <c r="H1872">
        <f t="shared" si="64"/>
        <v>3</v>
      </c>
      <c r="I1872">
        <f t="shared" si="65"/>
        <v>2022</v>
      </c>
    </row>
    <row r="1873" spans="1:9" x14ac:dyDescent="0.3">
      <c r="A1873" s="1">
        <v>44621</v>
      </c>
      <c r="B1873" t="s">
        <v>234</v>
      </c>
      <c r="C1873" t="s">
        <v>38</v>
      </c>
      <c r="D1873" t="s">
        <v>5</v>
      </c>
      <c r="E1873" t="s">
        <v>212</v>
      </c>
      <c r="F1873">
        <v>415</v>
      </c>
      <c r="H1873">
        <f t="shared" si="64"/>
        <v>3</v>
      </c>
      <c r="I1873">
        <f t="shared" si="65"/>
        <v>2022</v>
      </c>
    </row>
    <row r="1874" spans="1:9" x14ac:dyDescent="0.3">
      <c r="A1874" s="1">
        <v>44621</v>
      </c>
      <c r="B1874" t="s">
        <v>234</v>
      </c>
      <c r="C1874" t="s">
        <v>42</v>
      </c>
      <c r="D1874" t="s">
        <v>23</v>
      </c>
      <c r="E1874" t="s">
        <v>103</v>
      </c>
      <c r="F1874">
        <v>1200</v>
      </c>
      <c r="H1874">
        <f t="shared" si="64"/>
        <v>3</v>
      </c>
      <c r="I1874">
        <f t="shared" si="65"/>
        <v>2022</v>
      </c>
    </row>
    <row r="1875" spans="1:9" x14ac:dyDescent="0.3">
      <c r="A1875" s="1">
        <v>44621</v>
      </c>
      <c r="B1875" t="s">
        <v>234</v>
      </c>
      <c r="C1875" t="s">
        <v>98</v>
      </c>
      <c r="D1875" t="s">
        <v>59</v>
      </c>
      <c r="E1875" t="s">
        <v>14</v>
      </c>
      <c r="F1875">
        <v>4280</v>
      </c>
      <c r="H1875">
        <f t="shared" si="64"/>
        <v>3</v>
      </c>
      <c r="I1875">
        <f t="shared" si="65"/>
        <v>2022</v>
      </c>
    </row>
    <row r="1876" spans="1:9" x14ac:dyDescent="0.3">
      <c r="A1876" s="1">
        <v>44621</v>
      </c>
      <c r="B1876" t="s">
        <v>234</v>
      </c>
      <c r="C1876" t="s">
        <v>94</v>
      </c>
      <c r="D1876" t="s">
        <v>288</v>
      </c>
      <c r="E1876" t="s">
        <v>264</v>
      </c>
      <c r="F1876">
        <v>6800</v>
      </c>
      <c r="H1876">
        <f t="shared" si="64"/>
        <v>3</v>
      </c>
      <c r="I1876">
        <f t="shared" si="65"/>
        <v>2022</v>
      </c>
    </row>
    <row r="1877" spans="1:9" x14ac:dyDescent="0.3">
      <c r="A1877" s="1">
        <v>44621</v>
      </c>
      <c r="B1877" t="s">
        <v>234</v>
      </c>
      <c r="C1877" t="s">
        <v>364</v>
      </c>
      <c r="D1877" t="s">
        <v>93</v>
      </c>
      <c r="E1877" t="s">
        <v>13</v>
      </c>
      <c r="F1877">
        <v>1380</v>
      </c>
      <c r="H1877">
        <f t="shared" si="64"/>
        <v>3</v>
      </c>
      <c r="I1877">
        <f t="shared" si="65"/>
        <v>2022</v>
      </c>
    </row>
    <row r="1878" spans="1:9" x14ac:dyDescent="0.3">
      <c r="A1878" s="1">
        <v>44621</v>
      </c>
      <c r="B1878" t="s">
        <v>234</v>
      </c>
      <c r="C1878" t="s">
        <v>204</v>
      </c>
      <c r="D1878" t="s">
        <v>12</v>
      </c>
      <c r="E1878" t="s">
        <v>387</v>
      </c>
      <c r="F1878">
        <v>810</v>
      </c>
      <c r="H1878">
        <f t="shared" si="64"/>
        <v>3</v>
      </c>
      <c r="I1878">
        <f t="shared" si="65"/>
        <v>2022</v>
      </c>
    </row>
    <row r="1879" spans="1:9" x14ac:dyDescent="0.3">
      <c r="A1879" s="1">
        <v>44621</v>
      </c>
      <c r="B1879" t="s">
        <v>234</v>
      </c>
      <c r="C1879" t="s">
        <v>108</v>
      </c>
      <c r="D1879" t="s">
        <v>25</v>
      </c>
      <c r="E1879" t="s">
        <v>164</v>
      </c>
      <c r="F1879">
        <v>2725</v>
      </c>
      <c r="H1879">
        <f t="shared" si="64"/>
        <v>3</v>
      </c>
      <c r="I1879">
        <f t="shared" si="65"/>
        <v>2022</v>
      </c>
    </row>
    <row r="1880" spans="1:9" x14ac:dyDescent="0.3">
      <c r="A1880" s="1">
        <v>44621</v>
      </c>
      <c r="B1880" t="s">
        <v>234</v>
      </c>
      <c r="C1880" t="s">
        <v>112</v>
      </c>
      <c r="D1880" t="s">
        <v>25</v>
      </c>
      <c r="E1880" t="s">
        <v>205</v>
      </c>
      <c r="F1880">
        <v>3750</v>
      </c>
      <c r="H1880">
        <f t="shared" si="64"/>
        <v>3</v>
      </c>
      <c r="I1880">
        <f t="shared" si="65"/>
        <v>2022</v>
      </c>
    </row>
    <row r="1881" spans="1:9" x14ac:dyDescent="0.3">
      <c r="A1881" s="1">
        <v>44621</v>
      </c>
      <c r="B1881" t="s">
        <v>3</v>
      </c>
      <c r="G1881">
        <v>8450</v>
      </c>
      <c r="H1881">
        <f t="shared" si="64"/>
        <v>3</v>
      </c>
      <c r="I1881">
        <f t="shared" si="65"/>
        <v>2022</v>
      </c>
    </row>
    <row r="1882" spans="1:9" x14ac:dyDescent="0.3">
      <c r="A1882" s="1">
        <v>44621</v>
      </c>
      <c r="B1882" t="s">
        <v>3</v>
      </c>
      <c r="C1882" t="s">
        <v>98</v>
      </c>
      <c r="D1882" t="s">
        <v>37</v>
      </c>
      <c r="E1882" t="s">
        <v>26</v>
      </c>
      <c r="F1882">
        <v>5300</v>
      </c>
      <c r="H1882">
        <f t="shared" si="64"/>
        <v>3</v>
      </c>
      <c r="I1882">
        <f t="shared" si="65"/>
        <v>2022</v>
      </c>
    </row>
    <row r="1883" spans="1:9" x14ac:dyDescent="0.3">
      <c r="A1883" s="1">
        <v>44621</v>
      </c>
      <c r="B1883" t="s">
        <v>3</v>
      </c>
      <c r="C1883" t="s">
        <v>40</v>
      </c>
      <c r="D1883" t="s">
        <v>37</v>
      </c>
      <c r="E1883" t="s">
        <v>224</v>
      </c>
      <c r="F1883">
        <v>3150</v>
      </c>
      <c r="H1883">
        <f t="shared" si="64"/>
        <v>3</v>
      </c>
      <c r="I1883">
        <f t="shared" si="65"/>
        <v>2022</v>
      </c>
    </row>
    <row r="1884" spans="1:9" x14ac:dyDescent="0.3">
      <c r="A1884" s="1">
        <v>44622</v>
      </c>
      <c r="B1884" t="s">
        <v>201</v>
      </c>
      <c r="G1884">
        <v>8400</v>
      </c>
      <c r="H1884">
        <f t="shared" si="64"/>
        <v>3</v>
      </c>
      <c r="I1884">
        <f t="shared" si="65"/>
        <v>2022</v>
      </c>
    </row>
    <row r="1885" spans="1:9" x14ac:dyDescent="0.3">
      <c r="A1885" s="1">
        <v>44622</v>
      </c>
      <c r="B1885" t="s">
        <v>201</v>
      </c>
      <c r="C1885" t="s">
        <v>98</v>
      </c>
      <c r="D1885" t="s">
        <v>37</v>
      </c>
      <c r="E1885" t="s">
        <v>69</v>
      </c>
      <c r="F1885">
        <v>5500</v>
      </c>
      <c r="H1885">
        <f t="shared" si="64"/>
        <v>3</v>
      </c>
      <c r="I1885">
        <f t="shared" si="65"/>
        <v>2022</v>
      </c>
    </row>
    <row r="1886" spans="1:9" x14ac:dyDescent="0.3">
      <c r="A1886" s="1">
        <v>44622</v>
      </c>
      <c r="B1886" t="s">
        <v>201</v>
      </c>
      <c r="C1886" t="s">
        <v>359</v>
      </c>
      <c r="D1886" t="s">
        <v>93</v>
      </c>
      <c r="E1886" t="s">
        <v>160</v>
      </c>
      <c r="F1886">
        <v>2400</v>
      </c>
      <c r="H1886">
        <f t="shared" ref="H1886:H1945" si="66">MONTH(A1886)</f>
        <v>3</v>
      </c>
      <c r="I1886">
        <f t="shared" ref="I1886:I1945" si="67">YEAR(A1886)</f>
        <v>2022</v>
      </c>
    </row>
    <row r="1887" spans="1:9" x14ac:dyDescent="0.3">
      <c r="A1887" s="1">
        <v>44622</v>
      </c>
      <c r="B1887" t="s">
        <v>201</v>
      </c>
      <c r="C1887" t="s">
        <v>101</v>
      </c>
      <c r="D1887" t="s">
        <v>5</v>
      </c>
      <c r="E1887" t="s">
        <v>156</v>
      </c>
      <c r="F1887">
        <v>500</v>
      </c>
      <c r="H1887">
        <f t="shared" si="66"/>
        <v>3</v>
      </c>
      <c r="I1887">
        <f t="shared" si="67"/>
        <v>2022</v>
      </c>
    </row>
    <row r="1888" spans="1:9" x14ac:dyDescent="0.3">
      <c r="A1888" s="1">
        <v>44622</v>
      </c>
      <c r="B1888" t="s">
        <v>36</v>
      </c>
      <c r="G1888">
        <v>12600</v>
      </c>
      <c r="H1888">
        <f t="shared" si="66"/>
        <v>3</v>
      </c>
      <c r="I1888">
        <f t="shared" si="67"/>
        <v>2022</v>
      </c>
    </row>
    <row r="1889" spans="1:9" x14ac:dyDescent="0.3">
      <c r="A1889" s="1">
        <v>44622</v>
      </c>
      <c r="B1889" t="s">
        <v>36</v>
      </c>
      <c r="C1889" t="s">
        <v>40</v>
      </c>
      <c r="D1889" t="s">
        <v>54</v>
      </c>
      <c r="E1889" t="s">
        <v>224</v>
      </c>
      <c r="F1889">
        <v>12600</v>
      </c>
      <c r="H1889">
        <f t="shared" si="66"/>
        <v>3</v>
      </c>
      <c r="I1889">
        <f t="shared" si="67"/>
        <v>2022</v>
      </c>
    </row>
    <row r="1890" spans="1:9" x14ac:dyDescent="0.3">
      <c r="A1890" s="1">
        <v>44622</v>
      </c>
      <c r="B1890" t="s">
        <v>48</v>
      </c>
      <c r="G1890">
        <v>6400</v>
      </c>
      <c r="H1890">
        <f t="shared" si="66"/>
        <v>3</v>
      </c>
      <c r="I1890">
        <f t="shared" si="67"/>
        <v>2022</v>
      </c>
    </row>
    <row r="1891" spans="1:9" x14ac:dyDescent="0.3">
      <c r="A1891" s="1">
        <v>44622</v>
      </c>
      <c r="B1891" t="s">
        <v>48</v>
      </c>
      <c r="C1891" t="s">
        <v>40</v>
      </c>
      <c r="D1891" t="s">
        <v>9</v>
      </c>
      <c r="E1891" t="s">
        <v>90</v>
      </c>
      <c r="F1891">
        <v>6400</v>
      </c>
      <c r="H1891">
        <f t="shared" si="66"/>
        <v>3</v>
      </c>
      <c r="I1891">
        <f t="shared" si="67"/>
        <v>2022</v>
      </c>
    </row>
    <row r="1892" spans="1:9" x14ac:dyDescent="0.3">
      <c r="A1892" s="1">
        <v>44622</v>
      </c>
      <c r="B1892" t="s">
        <v>8</v>
      </c>
      <c r="G1892">
        <v>3360</v>
      </c>
      <c r="H1892">
        <f t="shared" si="66"/>
        <v>3</v>
      </c>
      <c r="I1892">
        <f t="shared" si="67"/>
        <v>2022</v>
      </c>
    </row>
    <row r="1893" spans="1:9" x14ac:dyDescent="0.3">
      <c r="A1893" s="1">
        <v>44622</v>
      </c>
      <c r="B1893" t="s">
        <v>8</v>
      </c>
      <c r="C1893" t="s">
        <v>38</v>
      </c>
      <c r="D1893" t="s">
        <v>30</v>
      </c>
      <c r="E1893" t="s">
        <v>102</v>
      </c>
      <c r="F1893">
        <v>3360</v>
      </c>
      <c r="H1893">
        <f t="shared" si="66"/>
        <v>3</v>
      </c>
      <c r="I1893">
        <f t="shared" si="67"/>
        <v>2022</v>
      </c>
    </row>
    <row r="1894" spans="1:9" x14ac:dyDescent="0.3">
      <c r="A1894" s="1">
        <v>44624</v>
      </c>
      <c r="B1894" t="s">
        <v>3</v>
      </c>
      <c r="G1894">
        <v>8455</v>
      </c>
      <c r="H1894">
        <f t="shared" si="66"/>
        <v>3</v>
      </c>
      <c r="I1894">
        <f t="shared" si="67"/>
        <v>2022</v>
      </c>
    </row>
    <row r="1895" spans="1:9" x14ac:dyDescent="0.3">
      <c r="A1895" s="1">
        <v>44624</v>
      </c>
      <c r="B1895" t="s">
        <v>3</v>
      </c>
      <c r="C1895" t="s">
        <v>40</v>
      </c>
      <c r="D1895" t="s">
        <v>37</v>
      </c>
      <c r="E1895" t="s">
        <v>104</v>
      </c>
      <c r="F1895">
        <v>3300</v>
      </c>
      <c r="H1895">
        <f t="shared" si="66"/>
        <v>3</v>
      </c>
      <c r="I1895">
        <f t="shared" si="67"/>
        <v>2022</v>
      </c>
    </row>
    <row r="1896" spans="1:9" x14ac:dyDescent="0.3">
      <c r="A1896" s="1">
        <v>44624</v>
      </c>
      <c r="B1896" t="s">
        <v>3</v>
      </c>
      <c r="C1896" t="s">
        <v>125</v>
      </c>
      <c r="D1896" t="s">
        <v>12</v>
      </c>
      <c r="E1896" t="s">
        <v>109</v>
      </c>
      <c r="F1896">
        <v>1400</v>
      </c>
      <c r="H1896">
        <f t="shared" si="66"/>
        <v>3</v>
      </c>
      <c r="I1896">
        <f t="shared" si="67"/>
        <v>2022</v>
      </c>
    </row>
    <row r="1897" spans="1:9" x14ac:dyDescent="0.3">
      <c r="A1897" s="1">
        <v>44624</v>
      </c>
      <c r="B1897" t="s">
        <v>3</v>
      </c>
      <c r="C1897" t="s">
        <v>101</v>
      </c>
      <c r="D1897" t="s">
        <v>12</v>
      </c>
      <c r="E1897" t="s">
        <v>7</v>
      </c>
      <c r="F1897">
        <v>1020</v>
      </c>
      <c r="H1897">
        <f t="shared" si="66"/>
        <v>3</v>
      </c>
      <c r="I1897">
        <f t="shared" si="67"/>
        <v>2022</v>
      </c>
    </row>
    <row r="1898" spans="1:9" x14ac:dyDescent="0.3">
      <c r="A1898" s="1">
        <v>44624</v>
      </c>
      <c r="B1898" t="s">
        <v>3</v>
      </c>
      <c r="C1898" t="s">
        <v>152</v>
      </c>
      <c r="D1898" t="s">
        <v>5</v>
      </c>
      <c r="E1898" t="s">
        <v>26</v>
      </c>
      <c r="F1898">
        <v>530</v>
      </c>
      <c r="H1898">
        <f t="shared" si="66"/>
        <v>3</v>
      </c>
      <c r="I1898">
        <f t="shared" si="67"/>
        <v>2022</v>
      </c>
    </row>
    <row r="1899" spans="1:9" x14ac:dyDescent="0.3">
      <c r="A1899" s="1">
        <v>44624</v>
      </c>
      <c r="B1899" t="s">
        <v>3</v>
      </c>
      <c r="C1899" t="s">
        <v>252</v>
      </c>
      <c r="D1899" t="s">
        <v>5</v>
      </c>
      <c r="E1899" t="s">
        <v>124</v>
      </c>
      <c r="F1899">
        <v>740</v>
      </c>
      <c r="H1899">
        <f t="shared" si="66"/>
        <v>3</v>
      </c>
      <c r="I1899">
        <f t="shared" si="67"/>
        <v>2022</v>
      </c>
    </row>
    <row r="1900" spans="1:9" x14ac:dyDescent="0.3">
      <c r="A1900" s="1">
        <v>44624</v>
      </c>
      <c r="B1900" t="s">
        <v>3</v>
      </c>
      <c r="C1900" t="s">
        <v>148</v>
      </c>
      <c r="D1900" t="s">
        <v>25</v>
      </c>
      <c r="E1900" t="s">
        <v>149</v>
      </c>
      <c r="F1900">
        <v>925</v>
      </c>
      <c r="H1900">
        <f t="shared" si="66"/>
        <v>3</v>
      </c>
      <c r="I1900">
        <f t="shared" si="67"/>
        <v>2022</v>
      </c>
    </row>
    <row r="1901" spans="1:9" x14ac:dyDescent="0.3">
      <c r="A1901" s="1">
        <v>44624</v>
      </c>
      <c r="B1901" t="s">
        <v>3</v>
      </c>
      <c r="C1901" t="s">
        <v>231</v>
      </c>
      <c r="D1901" t="s">
        <v>5</v>
      </c>
      <c r="E1901" t="s">
        <v>99</v>
      </c>
      <c r="F1901">
        <v>540</v>
      </c>
      <c r="H1901">
        <f t="shared" si="66"/>
        <v>3</v>
      </c>
      <c r="I1901">
        <f t="shared" si="67"/>
        <v>2022</v>
      </c>
    </row>
    <row r="1902" spans="1:9" x14ac:dyDescent="0.3">
      <c r="A1902" s="1">
        <v>44624</v>
      </c>
      <c r="B1902" t="s">
        <v>75</v>
      </c>
      <c r="G1902">
        <v>12600</v>
      </c>
      <c r="H1902">
        <f t="shared" si="66"/>
        <v>3</v>
      </c>
      <c r="I1902">
        <f t="shared" si="67"/>
        <v>2022</v>
      </c>
    </row>
    <row r="1903" spans="1:9" x14ac:dyDescent="0.3">
      <c r="A1903" s="1">
        <v>44624</v>
      </c>
      <c r="B1903" t="s">
        <v>75</v>
      </c>
      <c r="C1903" t="s">
        <v>40</v>
      </c>
      <c r="D1903" t="s">
        <v>54</v>
      </c>
      <c r="E1903" t="s">
        <v>224</v>
      </c>
      <c r="F1903">
        <v>12600</v>
      </c>
      <c r="H1903">
        <f t="shared" si="66"/>
        <v>3</v>
      </c>
      <c r="I1903">
        <f t="shared" si="67"/>
        <v>2022</v>
      </c>
    </row>
    <row r="1904" spans="1:9" x14ac:dyDescent="0.3">
      <c r="A1904" s="1">
        <v>44624</v>
      </c>
      <c r="B1904" t="s">
        <v>3</v>
      </c>
      <c r="G1904">
        <v>15750</v>
      </c>
      <c r="H1904">
        <f t="shared" si="66"/>
        <v>3</v>
      </c>
      <c r="I1904">
        <f t="shared" si="67"/>
        <v>2022</v>
      </c>
    </row>
    <row r="1905" spans="1:9" x14ac:dyDescent="0.3">
      <c r="A1905" s="1">
        <v>44624</v>
      </c>
      <c r="B1905" t="s">
        <v>3</v>
      </c>
      <c r="C1905" t="s">
        <v>40</v>
      </c>
      <c r="D1905" t="s">
        <v>52</v>
      </c>
      <c r="E1905" t="s">
        <v>224</v>
      </c>
      <c r="F1905">
        <v>15750</v>
      </c>
      <c r="H1905">
        <f t="shared" si="66"/>
        <v>3</v>
      </c>
      <c r="I1905">
        <f t="shared" si="67"/>
        <v>2022</v>
      </c>
    </row>
    <row r="1906" spans="1:9" x14ac:dyDescent="0.3">
      <c r="A1906" s="1">
        <v>44625</v>
      </c>
      <c r="B1906" t="s">
        <v>48</v>
      </c>
      <c r="G1906">
        <v>12800</v>
      </c>
      <c r="H1906">
        <f t="shared" si="66"/>
        <v>3</v>
      </c>
      <c r="I1906">
        <f t="shared" si="67"/>
        <v>2022</v>
      </c>
    </row>
    <row r="1907" spans="1:9" x14ac:dyDescent="0.3">
      <c r="A1907" s="1">
        <v>44625</v>
      </c>
      <c r="B1907" t="s">
        <v>48</v>
      </c>
      <c r="C1907" t="s">
        <v>40</v>
      </c>
      <c r="D1907" t="s">
        <v>9</v>
      </c>
      <c r="E1907" t="s">
        <v>90</v>
      </c>
      <c r="F1907">
        <v>6400</v>
      </c>
      <c r="H1907">
        <f t="shared" si="66"/>
        <v>3</v>
      </c>
      <c r="I1907">
        <f t="shared" si="67"/>
        <v>2022</v>
      </c>
    </row>
    <row r="1908" spans="1:9" x14ac:dyDescent="0.3">
      <c r="A1908" s="1">
        <v>44625</v>
      </c>
      <c r="B1908" t="s">
        <v>48</v>
      </c>
      <c r="C1908" t="s">
        <v>40</v>
      </c>
      <c r="D1908" t="s">
        <v>37</v>
      </c>
      <c r="E1908" t="s">
        <v>90</v>
      </c>
      <c r="F1908">
        <v>3200</v>
      </c>
      <c r="H1908">
        <f t="shared" si="66"/>
        <v>3</v>
      </c>
      <c r="I1908">
        <f t="shared" si="67"/>
        <v>2022</v>
      </c>
    </row>
    <row r="1909" spans="1:9" x14ac:dyDescent="0.3">
      <c r="A1909" s="1">
        <v>44625</v>
      </c>
      <c r="B1909" t="s">
        <v>48</v>
      </c>
      <c r="C1909" t="s">
        <v>40</v>
      </c>
      <c r="D1909" t="s">
        <v>37</v>
      </c>
      <c r="E1909" t="s">
        <v>90</v>
      </c>
      <c r="F1909">
        <v>3200</v>
      </c>
      <c r="H1909">
        <f t="shared" si="66"/>
        <v>3</v>
      </c>
      <c r="I1909">
        <f t="shared" si="67"/>
        <v>2022</v>
      </c>
    </row>
    <row r="1910" spans="1:9" x14ac:dyDescent="0.3">
      <c r="A1910" s="1">
        <v>44625</v>
      </c>
      <c r="B1910" t="s">
        <v>3</v>
      </c>
      <c r="G1910">
        <v>855</v>
      </c>
      <c r="H1910">
        <f t="shared" si="66"/>
        <v>3</v>
      </c>
      <c r="I1910">
        <f t="shared" si="67"/>
        <v>2022</v>
      </c>
    </row>
    <row r="1911" spans="1:9" x14ac:dyDescent="0.3">
      <c r="A1911" s="1">
        <v>44625</v>
      </c>
      <c r="B1911" t="s">
        <v>3</v>
      </c>
      <c r="C1911" t="s">
        <v>40</v>
      </c>
      <c r="D1911" t="s">
        <v>5</v>
      </c>
      <c r="E1911" t="s">
        <v>117</v>
      </c>
      <c r="F1911">
        <v>335</v>
      </c>
      <c r="H1911">
        <f t="shared" si="66"/>
        <v>3</v>
      </c>
      <c r="I1911">
        <f t="shared" si="67"/>
        <v>2022</v>
      </c>
    </row>
    <row r="1912" spans="1:9" x14ac:dyDescent="0.3">
      <c r="A1912" s="1">
        <v>44625</v>
      </c>
      <c r="B1912" t="s">
        <v>3</v>
      </c>
      <c r="C1912" t="s">
        <v>94</v>
      </c>
      <c r="D1912" t="s">
        <v>131</v>
      </c>
      <c r="E1912" t="s">
        <v>186</v>
      </c>
      <c r="F1912">
        <v>190</v>
      </c>
      <c r="H1912">
        <f t="shared" si="66"/>
        <v>3</v>
      </c>
      <c r="I1912">
        <f t="shared" si="67"/>
        <v>2022</v>
      </c>
    </row>
    <row r="1913" spans="1:9" x14ac:dyDescent="0.3">
      <c r="A1913" s="1">
        <v>44625</v>
      </c>
      <c r="B1913" t="s">
        <v>3</v>
      </c>
      <c r="C1913" t="s">
        <v>40</v>
      </c>
      <c r="D1913" t="s">
        <v>5</v>
      </c>
      <c r="E1913" t="s">
        <v>104</v>
      </c>
      <c r="F1913">
        <v>330</v>
      </c>
      <c r="H1913">
        <f t="shared" si="66"/>
        <v>3</v>
      </c>
      <c r="I1913">
        <f t="shared" si="67"/>
        <v>2022</v>
      </c>
    </row>
    <row r="1914" spans="1:9" x14ac:dyDescent="0.3">
      <c r="A1914" s="1">
        <v>44627</v>
      </c>
      <c r="B1914" t="s">
        <v>130</v>
      </c>
      <c r="G1914">
        <v>5340</v>
      </c>
      <c r="H1914">
        <f t="shared" si="66"/>
        <v>3</v>
      </c>
      <c r="I1914">
        <f t="shared" si="67"/>
        <v>2022</v>
      </c>
    </row>
    <row r="1915" spans="1:9" x14ac:dyDescent="0.3">
      <c r="A1915" s="1">
        <v>44627</v>
      </c>
      <c r="B1915" t="s">
        <v>130</v>
      </c>
      <c r="C1915" t="s">
        <v>40</v>
      </c>
      <c r="D1915" t="s">
        <v>37</v>
      </c>
      <c r="E1915" t="s">
        <v>60</v>
      </c>
      <c r="F1915">
        <v>3250</v>
      </c>
      <c r="H1915">
        <f t="shared" si="66"/>
        <v>3</v>
      </c>
      <c r="I1915">
        <f t="shared" si="67"/>
        <v>2022</v>
      </c>
    </row>
    <row r="1916" spans="1:9" x14ac:dyDescent="0.3">
      <c r="A1916" s="1">
        <v>44627</v>
      </c>
      <c r="B1916" t="s">
        <v>130</v>
      </c>
      <c r="C1916" t="s">
        <v>101</v>
      </c>
      <c r="D1916" t="s">
        <v>5</v>
      </c>
      <c r="E1916" t="s">
        <v>31</v>
      </c>
      <c r="F1916">
        <v>520</v>
      </c>
      <c r="H1916">
        <f t="shared" si="66"/>
        <v>3</v>
      </c>
      <c r="I1916">
        <f t="shared" si="67"/>
        <v>2022</v>
      </c>
    </row>
    <row r="1917" spans="1:9" x14ac:dyDescent="0.3">
      <c r="A1917" s="1">
        <v>44627</v>
      </c>
      <c r="B1917" t="s">
        <v>130</v>
      </c>
      <c r="C1917" t="s">
        <v>204</v>
      </c>
      <c r="D1917" t="s">
        <v>12</v>
      </c>
      <c r="E1917" t="s">
        <v>395</v>
      </c>
      <c r="F1917">
        <v>1570</v>
      </c>
      <c r="H1917">
        <f t="shared" si="66"/>
        <v>3</v>
      </c>
      <c r="I1917">
        <f t="shared" si="67"/>
        <v>2022</v>
      </c>
    </row>
    <row r="1918" spans="1:9" x14ac:dyDescent="0.3">
      <c r="A1918" s="1">
        <v>44627</v>
      </c>
      <c r="B1918" t="s">
        <v>130</v>
      </c>
      <c r="C1918" t="s">
        <v>148</v>
      </c>
      <c r="D1918" t="s">
        <v>5</v>
      </c>
      <c r="E1918" t="s">
        <v>149</v>
      </c>
      <c r="H1918">
        <f t="shared" si="66"/>
        <v>3</v>
      </c>
      <c r="I1918">
        <f t="shared" si="67"/>
        <v>2022</v>
      </c>
    </row>
    <row r="1919" spans="1:9" x14ac:dyDescent="0.3">
      <c r="A1919" s="1">
        <v>44627</v>
      </c>
      <c r="B1919" t="s">
        <v>130</v>
      </c>
      <c r="G1919">
        <v>18150</v>
      </c>
      <c r="H1919">
        <f t="shared" si="66"/>
        <v>3</v>
      </c>
      <c r="I1919">
        <f t="shared" si="67"/>
        <v>2022</v>
      </c>
    </row>
    <row r="1920" spans="1:9" x14ac:dyDescent="0.3">
      <c r="A1920" s="1">
        <v>44627</v>
      </c>
      <c r="B1920" t="s">
        <v>130</v>
      </c>
      <c r="C1920" t="s">
        <v>40</v>
      </c>
      <c r="D1920" t="s">
        <v>39</v>
      </c>
      <c r="E1920" t="s">
        <v>90</v>
      </c>
      <c r="F1920">
        <v>9600</v>
      </c>
      <c r="H1920">
        <f t="shared" si="66"/>
        <v>3</v>
      </c>
      <c r="I1920">
        <f t="shared" si="67"/>
        <v>2022</v>
      </c>
    </row>
    <row r="1921" spans="1:9" x14ac:dyDescent="0.3">
      <c r="A1921" s="1">
        <v>44627</v>
      </c>
      <c r="B1921" t="s">
        <v>130</v>
      </c>
      <c r="C1921" t="s">
        <v>108</v>
      </c>
      <c r="D1921" t="s">
        <v>12</v>
      </c>
      <c r="E1921" t="s">
        <v>99</v>
      </c>
      <c r="F1921">
        <v>1080</v>
      </c>
      <c r="H1921">
        <f t="shared" si="66"/>
        <v>3</v>
      </c>
      <c r="I1921">
        <f t="shared" si="67"/>
        <v>2022</v>
      </c>
    </row>
    <row r="1922" spans="1:9" x14ac:dyDescent="0.3">
      <c r="A1922" s="1">
        <v>44627</v>
      </c>
      <c r="B1922" t="s">
        <v>130</v>
      </c>
      <c r="C1922" t="s">
        <v>152</v>
      </c>
      <c r="D1922" t="s">
        <v>5</v>
      </c>
      <c r="E1922" t="s">
        <v>99</v>
      </c>
      <c r="F1922">
        <v>540</v>
      </c>
      <c r="H1922">
        <f t="shared" si="66"/>
        <v>3</v>
      </c>
      <c r="I1922">
        <f t="shared" si="67"/>
        <v>2022</v>
      </c>
    </row>
    <row r="1923" spans="1:9" x14ac:dyDescent="0.3">
      <c r="A1923" s="1">
        <v>44627</v>
      </c>
      <c r="B1923" t="s">
        <v>130</v>
      </c>
      <c r="C1923" t="s">
        <v>133</v>
      </c>
      <c r="D1923" t="s">
        <v>5</v>
      </c>
      <c r="E1923" t="s">
        <v>99</v>
      </c>
      <c r="F1923">
        <v>540</v>
      </c>
      <c r="H1923">
        <f t="shared" si="66"/>
        <v>3</v>
      </c>
      <c r="I1923">
        <f t="shared" si="67"/>
        <v>2022</v>
      </c>
    </row>
    <row r="1924" spans="1:9" x14ac:dyDescent="0.3">
      <c r="A1924" s="1">
        <v>44627</v>
      </c>
      <c r="B1924" t="s">
        <v>130</v>
      </c>
      <c r="C1924" t="s">
        <v>94</v>
      </c>
      <c r="D1924" t="s">
        <v>244</v>
      </c>
      <c r="E1924" t="s">
        <v>264</v>
      </c>
      <c r="F1924">
        <v>5100</v>
      </c>
      <c r="H1924">
        <f t="shared" si="66"/>
        <v>3</v>
      </c>
      <c r="I1924">
        <f t="shared" si="67"/>
        <v>2022</v>
      </c>
    </row>
    <row r="1925" spans="1:9" x14ac:dyDescent="0.3">
      <c r="A1925" s="1">
        <v>44627</v>
      </c>
      <c r="B1925" t="s">
        <v>130</v>
      </c>
      <c r="C1925" t="s">
        <v>231</v>
      </c>
      <c r="D1925" t="s">
        <v>5</v>
      </c>
      <c r="E1925" t="s">
        <v>99</v>
      </c>
      <c r="F1925">
        <v>540</v>
      </c>
      <c r="H1925">
        <f t="shared" si="66"/>
        <v>3</v>
      </c>
      <c r="I1925">
        <f t="shared" si="67"/>
        <v>2022</v>
      </c>
    </row>
    <row r="1926" spans="1:9" x14ac:dyDescent="0.3">
      <c r="A1926" s="1">
        <v>44627</v>
      </c>
      <c r="B1926" t="s">
        <v>130</v>
      </c>
      <c r="C1926" t="s">
        <v>204</v>
      </c>
      <c r="D1926" t="s">
        <v>5</v>
      </c>
      <c r="E1926" t="s">
        <v>205</v>
      </c>
      <c r="F1926">
        <v>750</v>
      </c>
      <c r="H1926">
        <f t="shared" si="66"/>
        <v>3</v>
      </c>
      <c r="I1926">
        <f t="shared" si="67"/>
        <v>2022</v>
      </c>
    </row>
    <row r="1927" spans="1:9" x14ac:dyDescent="0.3">
      <c r="A1927" s="1">
        <v>44627</v>
      </c>
      <c r="B1927" t="s">
        <v>130</v>
      </c>
      <c r="G1927">
        <v>23455</v>
      </c>
      <c r="H1927">
        <f t="shared" si="66"/>
        <v>3</v>
      </c>
      <c r="I1927">
        <f t="shared" si="67"/>
        <v>2022</v>
      </c>
    </row>
    <row r="1928" spans="1:9" x14ac:dyDescent="0.3">
      <c r="A1928" s="1">
        <v>44627</v>
      </c>
      <c r="B1928" t="s">
        <v>130</v>
      </c>
      <c r="C1928" t="s">
        <v>152</v>
      </c>
      <c r="D1928" t="s">
        <v>37</v>
      </c>
      <c r="E1928" t="s">
        <v>122</v>
      </c>
      <c r="F1928">
        <v>5600</v>
      </c>
      <c r="H1928">
        <f t="shared" si="66"/>
        <v>3</v>
      </c>
      <c r="I1928">
        <f t="shared" si="67"/>
        <v>2022</v>
      </c>
    </row>
    <row r="1929" spans="1:9" x14ac:dyDescent="0.3">
      <c r="A1929" s="1">
        <v>44627</v>
      </c>
      <c r="B1929" t="s">
        <v>130</v>
      </c>
      <c r="C1929" t="s">
        <v>252</v>
      </c>
      <c r="D1929" t="s">
        <v>12</v>
      </c>
      <c r="E1929" t="s">
        <v>396</v>
      </c>
      <c r="F1929">
        <v>1520</v>
      </c>
      <c r="H1929">
        <f t="shared" si="66"/>
        <v>3</v>
      </c>
      <c r="I1929">
        <f t="shared" si="67"/>
        <v>2022</v>
      </c>
    </row>
    <row r="1930" spans="1:9" x14ac:dyDescent="0.3">
      <c r="A1930" s="1">
        <v>44627</v>
      </c>
      <c r="B1930" t="s">
        <v>130</v>
      </c>
      <c r="C1930" t="s">
        <v>219</v>
      </c>
      <c r="D1930" t="s">
        <v>93</v>
      </c>
      <c r="E1930" t="s">
        <v>199</v>
      </c>
      <c r="F1930">
        <v>3120</v>
      </c>
      <c r="H1930">
        <f t="shared" si="66"/>
        <v>3</v>
      </c>
      <c r="I1930">
        <f t="shared" si="67"/>
        <v>2022</v>
      </c>
    </row>
    <row r="1931" spans="1:9" x14ac:dyDescent="0.3">
      <c r="A1931" s="1">
        <v>44627</v>
      </c>
      <c r="B1931" t="s">
        <v>130</v>
      </c>
      <c r="C1931" t="s">
        <v>108</v>
      </c>
      <c r="D1931" t="s">
        <v>59</v>
      </c>
      <c r="E1931" t="s">
        <v>122</v>
      </c>
      <c r="F1931">
        <v>4480</v>
      </c>
      <c r="H1931">
        <f t="shared" si="66"/>
        <v>3</v>
      </c>
      <c r="I1931">
        <f t="shared" si="67"/>
        <v>2022</v>
      </c>
    </row>
    <row r="1932" spans="1:9" x14ac:dyDescent="0.3">
      <c r="A1932" s="1">
        <v>44627</v>
      </c>
      <c r="B1932" t="s">
        <v>130</v>
      </c>
      <c r="C1932" t="s">
        <v>133</v>
      </c>
      <c r="D1932" t="s">
        <v>23</v>
      </c>
      <c r="E1932" t="s">
        <v>99</v>
      </c>
      <c r="F1932">
        <v>1620</v>
      </c>
      <c r="H1932">
        <f t="shared" si="66"/>
        <v>3</v>
      </c>
      <c r="I1932">
        <f t="shared" si="67"/>
        <v>2022</v>
      </c>
    </row>
    <row r="1933" spans="1:9" x14ac:dyDescent="0.3">
      <c r="A1933" s="1">
        <v>44627</v>
      </c>
      <c r="B1933" t="s">
        <v>130</v>
      </c>
      <c r="C1933" t="s">
        <v>204</v>
      </c>
      <c r="D1933" t="s">
        <v>23</v>
      </c>
      <c r="E1933" t="s">
        <v>395</v>
      </c>
      <c r="F1933">
        <v>2355</v>
      </c>
      <c r="H1933">
        <f t="shared" si="66"/>
        <v>3</v>
      </c>
      <c r="I1933">
        <f t="shared" si="67"/>
        <v>2022</v>
      </c>
    </row>
    <row r="1934" spans="1:9" x14ac:dyDescent="0.3">
      <c r="A1934" s="1">
        <v>44627</v>
      </c>
      <c r="B1934" t="s">
        <v>130</v>
      </c>
      <c r="C1934" t="s">
        <v>216</v>
      </c>
      <c r="D1934" t="s">
        <v>12</v>
      </c>
      <c r="E1934" t="s">
        <v>395</v>
      </c>
      <c r="F1934">
        <v>1570</v>
      </c>
      <c r="H1934">
        <f t="shared" si="66"/>
        <v>3</v>
      </c>
      <c r="I1934">
        <f t="shared" si="67"/>
        <v>2022</v>
      </c>
    </row>
    <row r="1935" spans="1:9" x14ac:dyDescent="0.3">
      <c r="A1935" s="1">
        <v>44627</v>
      </c>
      <c r="B1935" t="s">
        <v>130</v>
      </c>
      <c r="C1935" t="s">
        <v>256</v>
      </c>
      <c r="D1935" t="s">
        <v>5</v>
      </c>
      <c r="E1935" t="s">
        <v>395</v>
      </c>
      <c r="F1935">
        <v>785</v>
      </c>
      <c r="H1935">
        <f t="shared" si="66"/>
        <v>3</v>
      </c>
      <c r="I1935">
        <f t="shared" si="67"/>
        <v>2022</v>
      </c>
    </row>
    <row r="1936" spans="1:9" x14ac:dyDescent="0.3">
      <c r="A1936" s="1">
        <v>44627</v>
      </c>
      <c r="B1936" t="s">
        <v>130</v>
      </c>
      <c r="C1936" t="s">
        <v>394</v>
      </c>
      <c r="D1936" t="s">
        <v>5</v>
      </c>
      <c r="E1936" t="s">
        <v>199</v>
      </c>
      <c r="F1936">
        <v>780</v>
      </c>
      <c r="H1936">
        <f t="shared" si="66"/>
        <v>3</v>
      </c>
      <c r="I1936">
        <f t="shared" si="67"/>
        <v>2022</v>
      </c>
    </row>
    <row r="1937" spans="1:9" x14ac:dyDescent="0.3">
      <c r="A1937" s="1">
        <v>44627</v>
      </c>
      <c r="B1937" t="s">
        <v>130</v>
      </c>
      <c r="C1937" t="s">
        <v>40</v>
      </c>
      <c r="D1937" t="s">
        <v>25</v>
      </c>
      <c r="E1937" t="s">
        <v>60</v>
      </c>
      <c r="F1937">
        <v>1625</v>
      </c>
      <c r="H1937">
        <f t="shared" si="66"/>
        <v>3</v>
      </c>
      <c r="I1937">
        <f t="shared" si="67"/>
        <v>2022</v>
      </c>
    </row>
    <row r="1938" spans="1:9" x14ac:dyDescent="0.3">
      <c r="A1938" s="1">
        <v>44627</v>
      </c>
      <c r="B1938" t="s">
        <v>130</v>
      </c>
      <c r="G1938">
        <v>10945</v>
      </c>
      <c r="H1938">
        <f t="shared" si="66"/>
        <v>3</v>
      </c>
      <c r="I1938">
        <f t="shared" si="67"/>
        <v>2022</v>
      </c>
    </row>
    <row r="1939" spans="1:9" x14ac:dyDescent="0.3">
      <c r="A1939" s="1">
        <v>44627</v>
      </c>
      <c r="B1939" t="s">
        <v>130</v>
      </c>
      <c r="C1939" t="s">
        <v>165</v>
      </c>
      <c r="D1939" t="s">
        <v>9</v>
      </c>
      <c r="E1939" t="s">
        <v>166</v>
      </c>
      <c r="F1939">
        <v>4320</v>
      </c>
      <c r="H1939">
        <f t="shared" si="66"/>
        <v>3</v>
      </c>
      <c r="I1939">
        <f t="shared" si="67"/>
        <v>2022</v>
      </c>
    </row>
    <row r="1940" spans="1:9" x14ac:dyDescent="0.3">
      <c r="A1940" s="1">
        <v>44627</v>
      </c>
      <c r="B1940" t="s">
        <v>130</v>
      </c>
      <c r="C1940" t="s">
        <v>176</v>
      </c>
      <c r="D1940" t="s">
        <v>9</v>
      </c>
      <c r="E1940" t="s">
        <v>166</v>
      </c>
      <c r="F1940">
        <v>4320</v>
      </c>
      <c r="H1940">
        <f t="shared" si="66"/>
        <v>3</v>
      </c>
      <c r="I1940">
        <f t="shared" si="67"/>
        <v>2022</v>
      </c>
    </row>
    <row r="1941" spans="1:9" x14ac:dyDescent="0.3">
      <c r="A1941" s="1">
        <v>44627</v>
      </c>
      <c r="B1941" t="s">
        <v>130</v>
      </c>
      <c r="C1941" t="s">
        <v>198</v>
      </c>
      <c r="D1941" t="s">
        <v>93</v>
      </c>
      <c r="E1941" t="s">
        <v>166</v>
      </c>
      <c r="F1941">
        <v>864</v>
      </c>
      <c r="H1941">
        <f t="shared" si="66"/>
        <v>3</v>
      </c>
      <c r="I1941">
        <f t="shared" si="67"/>
        <v>2022</v>
      </c>
    </row>
    <row r="1942" spans="1:9" x14ac:dyDescent="0.3">
      <c r="A1942" s="1">
        <v>44627</v>
      </c>
      <c r="B1942" t="s">
        <v>130</v>
      </c>
      <c r="C1942" t="s">
        <v>235</v>
      </c>
      <c r="D1942" t="s">
        <v>37</v>
      </c>
      <c r="E1942" t="s">
        <v>105</v>
      </c>
      <c r="F1942">
        <v>2500</v>
      </c>
      <c r="H1942">
        <f t="shared" si="66"/>
        <v>3</v>
      </c>
      <c r="I1942">
        <f t="shared" si="67"/>
        <v>2022</v>
      </c>
    </row>
    <row r="1943" spans="1:9" x14ac:dyDescent="0.3">
      <c r="A1943" s="1">
        <v>44627</v>
      </c>
      <c r="B1943" t="s">
        <v>24</v>
      </c>
      <c r="G1943">
        <v>-1056</v>
      </c>
      <c r="H1943">
        <f t="shared" si="66"/>
        <v>3</v>
      </c>
      <c r="I1943">
        <f t="shared" si="67"/>
        <v>2022</v>
      </c>
    </row>
    <row r="1944" spans="1:9" x14ac:dyDescent="0.3">
      <c r="A1944" s="1">
        <v>44627</v>
      </c>
      <c r="B1944" t="s">
        <v>24</v>
      </c>
      <c r="G1944">
        <v>-3</v>
      </c>
      <c r="H1944">
        <f t="shared" si="66"/>
        <v>3</v>
      </c>
      <c r="I1944">
        <f t="shared" si="67"/>
        <v>2022</v>
      </c>
    </row>
    <row r="1945" spans="1:9" x14ac:dyDescent="0.3">
      <c r="A1945" s="1">
        <v>44627</v>
      </c>
      <c r="B1945" t="s">
        <v>299</v>
      </c>
      <c r="G1945">
        <v>16840</v>
      </c>
      <c r="H1945">
        <f t="shared" si="66"/>
        <v>3</v>
      </c>
      <c r="I1945">
        <f t="shared" si="67"/>
        <v>2022</v>
      </c>
    </row>
    <row r="1946" spans="1:9" x14ac:dyDescent="0.3">
      <c r="A1946" s="1">
        <v>44627</v>
      </c>
      <c r="B1946" t="s">
        <v>299</v>
      </c>
      <c r="C1946" t="s">
        <v>40</v>
      </c>
      <c r="D1946" t="s">
        <v>9</v>
      </c>
      <c r="E1946" t="s">
        <v>104</v>
      </c>
      <c r="F1946">
        <v>6600</v>
      </c>
      <c r="H1946">
        <f t="shared" ref="H1946:H2005" si="68">MONTH(A1946)</f>
        <v>3</v>
      </c>
      <c r="I1946">
        <f t="shared" ref="I1946:I2005" si="69">YEAR(A1946)</f>
        <v>2022</v>
      </c>
    </row>
    <row r="1947" spans="1:9" x14ac:dyDescent="0.3">
      <c r="A1947" s="1">
        <v>44627</v>
      </c>
      <c r="B1947" t="s">
        <v>299</v>
      </c>
      <c r="C1947" t="s">
        <v>38</v>
      </c>
      <c r="D1947" t="s">
        <v>25</v>
      </c>
      <c r="E1947" t="s">
        <v>212</v>
      </c>
      <c r="F1947">
        <v>2075</v>
      </c>
      <c r="H1947">
        <f t="shared" si="68"/>
        <v>3</v>
      </c>
      <c r="I1947">
        <f t="shared" si="69"/>
        <v>2022</v>
      </c>
    </row>
    <row r="1948" spans="1:9" x14ac:dyDescent="0.3">
      <c r="A1948" s="1">
        <v>44627</v>
      </c>
      <c r="B1948" t="s">
        <v>299</v>
      </c>
      <c r="C1948" t="s">
        <v>381</v>
      </c>
      <c r="D1948" t="s">
        <v>18</v>
      </c>
      <c r="E1948" t="s">
        <v>382</v>
      </c>
      <c r="F1948">
        <v>570</v>
      </c>
      <c r="H1948">
        <f t="shared" si="68"/>
        <v>3</v>
      </c>
      <c r="I1948">
        <f t="shared" si="69"/>
        <v>2022</v>
      </c>
    </row>
    <row r="1949" spans="1:9" x14ac:dyDescent="0.3">
      <c r="A1949" s="1">
        <v>44627</v>
      </c>
      <c r="B1949" t="s">
        <v>299</v>
      </c>
      <c r="C1949" t="s">
        <v>94</v>
      </c>
      <c r="D1949" t="s">
        <v>288</v>
      </c>
      <c r="E1949" t="s">
        <v>186</v>
      </c>
      <c r="F1949">
        <v>7600</v>
      </c>
      <c r="H1949">
        <f t="shared" si="68"/>
        <v>3</v>
      </c>
      <c r="I1949">
        <f t="shared" si="69"/>
        <v>2022</v>
      </c>
    </row>
    <row r="1950" spans="1:9" x14ac:dyDescent="0.3">
      <c r="A1950" s="1">
        <v>44627</v>
      </c>
      <c r="B1950" t="s">
        <v>24</v>
      </c>
      <c r="G1950">
        <v>-5</v>
      </c>
      <c r="H1950">
        <f t="shared" si="68"/>
        <v>3</v>
      </c>
      <c r="I1950">
        <f t="shared" si="69"/>
        <v>2022</v>
      </c>
    </row>
    <row r="1951" spans="1:9" x14ac:dyDescent="0.3">
      <c r="A1951" s="1">
        <v>44627</v>
      </c>
      <c r="B1951" t="s">
        <v>83</v>
      </c>
      <c r="G1951">
        <v>13200</v>
      </c>
      <c r="H1951">
        <f t="shared" si="68"/>
        <v>3</v>
      </c>
      <c r="I1951">
        <f t="shared" si="69"/>
        <v>2022</v>
      </c>
    </row>
    <row r="1952" spans="1:9" x14ac:dyDescent="0.3">
      <c r="A1952" s="1">
        <v>44627</v>
      </c>
      <c r="B1952" t="s">
        <v>83</v>
      </c>
      <c r="C1952" t="s">
        <v>40</v>
      </c>
      <c r="D1952" t="s">
        <v>54</v>
      </c>
      <c r="E1952" t="s">
        <v>104</v>
      </c>
      <c r="F1952">
        <v>13200</v>
      </c>
      <c r="H1952">
        <f t="shared" si="68"/>
        <v>3</v>
      </c>
      <c r="I1952">
        <f t="shared" si="69"/>
        <v>2022</v>
      </c>
    </row>
    <row r="1953" spans="1:9" x14ac:dyDescent="0.3">
      <c r="A1953" s="1">
        <v>44627</v>
      </c>
      <c r="B1953" t="s">
        <v>48</v>
      </c>
      <c r="G1953">
        <v>6600</v>
      </c>
      <c r="H1953">
        <f t="shared" si="68"/>
        <v>3</v>
      </c>
      <c r="I1953">
        <f t="shared" si="69"/>
        <v>2022</v>
      </c>
    </row>
    <row r="1954" spans="1:9" x14ac:dyDescent="0.3">
      <c r="A1954" s="1">
        <v>44627</v>
      </c>
      <c r="B1954" t="s">
        <v>48</v>
      </c>
      <c r="C1954" t="s">
        <v>40</v>
      </c>
      <c r="D1954" t="s">
        <v>9</v>
      </c>
      <c r="E1954" t="s">
        <v>104</v>
      </c>
      <c r="F1954">
        <v>6600</v>
      </c>
      <c r="H1954">
        <f t="shared" si="68"/>
        <v>3</v>
      </c>
      <c r="I1954">
        <f t="shared" si="69"/>
        <v>2022</v>
      </c>
    </row>
    <row r="1955" spans="1:9" x14ac:dyDescent="0.3">
      <c r="A1955" s="1">
        <v>44627</v>
      </c>
      <c r="B1955" t="s">
        <v>85</v>
      </c>
      <c r="G1955">
        <v>2780</v>
      </c>
      <c r="H1955">
        <f t="shared" si="68"/>
        <v>3</v>
      </c>
      <c r="I1955">
        <f t="shared" si="69"/>
        <v>2022</v>
      </c>
    </row>
    <row r="1956" spans="1:9" x14ac:dyDescent="0.3">
      <c r="A1956" s="1">
        <v>44627</v>
      </c>
      <c r="B1956" t="s">
        <v>85</v>
      </c>
      <c r="C1956" t="s">
        <v>22</v>
      </c>
      <c r="D1956" t="s">
        <v>37</v>
      </c>
      <c r="E1956" t="s">
        <v>210</v>
      </c>
      <c r="F1956">
        <v>2780</v>
      </c>
      <c r="H1956">
        <f t="shared" si="68"/>
        <v>3</v>
      </c>
      <c r="I1956">
        <f t="shared" si="69"/>
        <v>2022</v>
      </c>
    </row>
    <row r="1957" spans="1:9" x14ac:dyDescent="0.3">
      <c r="A1957" s="1">
        <v>44627</v>
      </c>
      <c r="B1957" t="s">
        <v>96</v>
      </c>
      <c r="G1957">
        <v>1575</v>
      </c>
      <c r="H1957">
        <f t="shared" si="68"/>
        <v>3</v>
      </c>
      <c r="I1957">
        <f t="shared" si="69"/>
        <v>2022</v>
      </c>
    </row>
    <row r="1958" spans="1:9" x14ac:dyDescent="0.3">
      <c r="A1958" s="1">
        <v>44627</v>
      </c>
      <c r="B1958" t="s">
        <v>96</v>
      </c>
      <c r="C1958" t="s">
        <v>40</v>
      </c>
      <c r="D1958" t="s">
        <v>25</v>
      </c>
      <c r="E1958" t="s">
        <v>224</v>
      </c>
      <c r="F1958">
        <v>1575</v>
      </c>
      <c r="H1958">
        <f t="shared" si="68"/>
        <v>3</v>
      </c>
      <c r="I1958">
        <f t="shared" si="69"/>
        <v>2022</v>
      </c>
    </row>
    <row r="1959" spans="1:9" x14ac:dyDescent="0.3">
      <c r="A1959" s="1">
        <v>44627</v>
      </c>
      <c r="B1959" t="s">
        <v>397</v>
      </c>
      <c r="G1959">
        <v>44240</v>
      </c>
      <c r="H1959">
        <f t="shared" si="68"/>
        <v>3</v>
      </c>
      <c r="I1959">
        <f t="shared" si="69"/>
        <v>2022</v>
      </c>
    </row>
    <row r="1960" spans="1:9" x14ac:dyDescent="0.3">
      <c r="A1960" s="1">
        <v>44627</v>
      </c>
      <c r="B1960" t="s">
        <v>397</v>
      </c>
      <c r="C1960" t="s">
        <v>40</v>
      </c>
      <c r="D1960" t="s">
        <v>65</v>
      </c>
      <c r="E1960" t="s">
        <v>60</v>
      </c>
      <c r="F1960">
        <v>32500</v>
      </c>
      <c r="H1960">
        <f t="shared" si="68"/>
        <v>3</v>
      </c>
      <c r="I1960">
        <f t="shared" si="69"/>
        <v>2022</v>
      </c>
    </row>
    <row r="1961" spans="1:9" x14ac:dyDescent="0.3">
      <c r="A1961" s="1">
        <v>44627</v>
      </c>
      <c r="B1961" t="s">
        <v>397</v>
      </c>
      <c r="C1961" t="s">
        <v>94</v>
      </c>
      <c r="D1961" t="s">
        <v>267</v>
      </c>
      <c r="E1961" t="s">
        <v>264</v>
      </c>
      <c r="F1961">
        <v>4250</v>
      </c>
      <c r="H1961">
        <f t="shared" si="68"/>
        <v>3</v>
      </c>
      <c r="I1961">
        <f t="shared" si="69"/>
        <v>2022</v>
      </c>
    </row>
    <row r="1962" spans="1:9" x14ac:dyDescent="0.3">
      <c r="A1962" s="1">
        <v>44627</v>
      </c>
      <c r="B1962" t="s">
        <v>397</v>
      </c>
      <c r="C1962" t="s">
        <v>94</v>
      </c>
      <c r="D1962" t="s">
        <v>267</v>
      </c>
      <c r="E1962" t="s">
        <v>290</v>
      </c>
      <c r="F1962">
        <v>4700</v>
      </c>
      <c r="H1962">
        <f t="shared" si="68"/>
        <v>3</v>
      </c>
      <c r="I1962">
        <f t="shared" si="69"/>
        <v>2022</v>
      </c>
    </row>
    <row r="1963" spans="1:9" x14ac:dyDescent="0.3">
      <c r="A1963" s="1">
        <v>44627</v>
      </c>
      <c r="B1963" t="s">
        <v>397</v>
      </c>
      <c r="C1963" t="s">
        <v>101</v>
      </c>
      <c r="D1963" t="s">
        <v>5</v>
      </c>
      <c r="E1963" t="s">
        <v>156</v>
      </c>
      <c r="F1963">
        <v>500</v>
      </c>
      <c r="H1963">
        <f t="shared" si="68"/>
        <v>3</v>
      </c>
      <c r="I1963">
        <f t="shared" si="69"/>
        <v>2022</v>
      </c>
    </row>
    <row r="1964" spans="1:9" x14ac:dyDescent="0.3">
      <c r="A1964" s="1">
        <v>44627</v>
      </c>
      <c r="B1964" t="s">
        <v>397</v>
      </c>
      <c r="C1964" t="s">
        <v>111</v>
      </c>
      <c r="D1964" t="s">
        <v>23</v>
      </c>
      <c r="E1964" t="s">
        <v>227</v>
      </c>
      <c r="F1964">
        <v>930</v>
      </c>
      <c r="H1964">
        <f t="shared" si="68"/>
        <v>3</v>
      </c>
      <c r="I1964">
        <f t="shared" si="69"/>
        <v>2022</v>
      </c>
    </row>
    <row r="1965" spans="1:9" x14ac:dyDescent="0.3">
      <c r="A1965" s="1">
        <v>44627</v>
      </c>
      <c r="B1965" t="s">
        <v>397</v>
      </c>
      <c r="C1965" t="s">
        <v>171</v>
      </c>
      <c r="D1965" t="s">
        <v>12</v>
      </c>
      <c r="E1965" t="s">
        <v>120</v>
      </c>
      <c r="F1965">
        <v>1360</v>
      </c>
      <c r="H1965">
        <f t="shared" si="68"/>
        <v>3</v>
      </c>
      <c r="I1965">
        <f t="shared" si="69"/>
        <v>2022</v>
      </c>
    </row>
    <row r="1966" spans="1:9" x14ac:dyDescent="0.3">
      <c r="A1966" s="1">
        <v>44629</v>
      </c>
      <c r="B1966" t="s">
        <v>10</v>
      </c>
      <c r="G1966">
        <v>28210</v>
      </c>
      <c r="H1966">
        <f t="shared" si="68"/>
        <v>3</v>
      </c>
      <c r="I1966">
        <f t="shared" si="69"/>
        <v>2022</v>
      </c>
    </row>
    <row r="1967" spans="1:9" x14ac:dyDescent="0.3">
      <c r="A1967" s="1">
        <v>44629</v>
      </c>
      <c r="B1967" t="s">
        <v>10</v>
      </c>
      <c r="C1967" t="s">
        <v>40</v>
      </c>
      <c r="D1967" t="s">
        <v>52</v>
      </c>
      <c r="E1967" t="s">
        <v>90</v>
      </c>
      <c r="F1967">
        <v>16000</v>
      </c>
      <c r="H1967">
        <f t="shared" si="68"/>
        <v>3</v>
      </c>
      <c r="I1967">
        <f t="shared" si="69"/>
        <v>2022</v>
      </c>
    </row>
    <row r="1968" spans="1:9" x14ac:dyDescent="0.3">
      <c r="A1968" s="1">
        <v>44629</v>
      </c>
      <c r="B1968" t="s">
        <v>10</v>
      </c>
      <c r="C1968" t="s">
        <v>38</v>
      </c>
      <c r="D1968" t="s">
        <v>37</v>
      </c>
      <c r="E1968" t="s">
        <v>212</v>
      </c>
      <c r="F1968">
        <v>4150</v>
      </c>
      <c r="H1968">
        <f t="shared" si="68"/>
        <v>3</v>
      </c>
      <c r="I1968">
        <f t="shared" si="69"/>
        <v>2022</v>
      </c>
    </row>
    <row r="1969" spans="1:9" x14ac:dyDescent="0.3">
      <c r="A1969" s="1">
        <v>44629</v>
      </c>
      <c r="B1969" t="s">
        <v>10</v>
      </c>
      <c r="C1969" t="s">
        <v>364</v>
      </c>
      <c r="D1969" t="s">
        <v>59</v>
      </c>
      <c r="E1969" t="s">
        <v>13</v>
      </c>
      <c r="F1969">
        <v>2760</v>
      </c>
      <c r="H1969">
        <f t="shared" si="68"/>
        <v>3</v>
      </c>
      <c r="I1969">
        <f t="shared" si="69"/>
        <v>2022</v>
      </c>
    </row>
    <row r="1970" spans="1:9" x14ac:dyDescent="0.3">
      <c r="A1970" s="1">
        <v>44629</v>
      </c>
      <c r="B1970" t="s">
        <v>10</v>
      </c>
      <c r="C1970" t="s">
        <v>98</v>
      </c>
      <c r="D1970" t="s">
        <v>37</v>
      </c>
      <c r="E1970" t="s">
        <v>26</v>
      </c>
      <c r="F1970">
        <v>5300</v>
      </c>
      <c r="H1970">
        <f t="shared" si="68"/>
        <v>3</v>
      </c>
      <c r="I1970">
        <f t="shared" si="69"/>
        <v>2022</v>
      </c>
    </row>
    <row r="1971" spans="1:9" x14ac:dyDescent="0.3">
      <c r="A1971" s="1">
        <v>44629</v>
      </c>
      <c r="B1971" t="s">
        <v>3</v>
      </c>
      <c r="G1971">
        <v>10800</v>
      </c>
      <c r="H1971">
        <f t="shared" si="68"/>
        <v>3</v>
      </c>
      <c r="I1971">
        <f t="shared" si="69"/>
        <v>2022</v>
      </c>
    </row>
    <row r="1972" spans="1:9" x14ac:dyDescent="0.3">
      <c r="A1972" s="1">
        <v>44629</v>
      </c>
      <c r="B1972" t="s">
        <v>3</v>
      </c>
      <c r="C1972" t="s">
        <v>94</v>
      </c>
      <c r="D1972" t="s">
        <v>288</v>
      </c>
      <c r="E1972" t="s">
        <v>290</v>
      </c>
      <c r="F1972">
        <v>7520</v>
      </c>
      <c r="H1972">
        <f t="shared" si="68"/>
        <v>3</v>
      </c>
      <c r="I1972">
        <f t="shared" si="69"/>
        <v>2022</v>
      </c>
    </row>
    <row r="1973" spans="1:9" x14ac:dyDescent="0.3">
      <c r="A1973" s="1">
        <v>44629</v>
      </c>
      <c r="B1973" t="s">
        <v>3</v>
      </c>
      <c r="C1973" t="s">
        <v>40</v>
      </c>
      <c r="D1973" t="s">
        <v>37</v>
      </c>
      <c r="E1973" t="s">
        <v>41</v>
      </c>
      <c r="F1973">
        <v>3280</v>
      </c>
      <c r="H1973">
        <f t="shared" si="68"/>
        <v>3</v>
      </c>
      <c r="I1973">
        <f t="shared" si="69"/>
        <v>2022</v>
      </c>
    </row>
    <row r="1974" spans="1:9" x14ac:dyDescent="0.3">
      <c r="A1974" s="1">
        <v>44629</v>
      </c>
      <c r="B1974" t="s">
        <v>3</v>
      </c>
      <c r="G1974">
        <v>3830</v>
      </c>
      <c r="H1974">
        <f t="shared" si="68"/>
        <v>3</v>
      </c>
      <c r="I1974">
        <f t="shared" si="69"/>
        <v>2022</v>
      </c>
    </row>
    <row r="1975" spans="1:9" x14ac:dyDescent="0.3">
      <c r="A1975" s="1">
        <v>44629</v>
      </c>
      <c r="B1975" t="s">
        <v>3</v>
      </c>
      <c r="C1975" t="s">
        <v>98</v>
      </c>
      <c r="D1975" t="s">
        <v>25</v>
      </c>
      <c r="E1975" t="s">
        <v>69</v>
      </c>
      <c r="F1975">
        <v>2750</v>
      </c>
      <c r="H1975">
        <f t="shared" si="68"/>
        <v>3</v>
      </c>
      <c r="I1975">
        <f t="shared" si="69"/>
        <v>2022</v>
      </c>
    </row>
    <row r="1976" spans="1:9" x14ac:dyDescent="0.3">
      <c r="A1976" s="1">
        <v>44629</v>
      </c>
      <c r="B1976" t="s">
        <v>3</v>
      </c>
      <c r="C1976" t="s">
        <v>381</v>
      </c>
      <c r="D1976" t="s">
        <v>16</v>
      </c>
      <c r="E1976" t="s">
        <v>262</v>
      </c>
      <c r="F1976">
        <v>1080</v>
      </c>
      <c r="H1976">
        <f t="shared" si="68"/>
        <v>3</v>
      </c>
      <c r="I1976">
        <f t="shared" si="69"/>
        <v>2022</v>
      </c>
    </row>
    <row r="1977" spans="1:9" x14ac:dyDescent="0.3">
      <c r="A1977" s="1">
        <v>44629</v>
      </c>
      <c r="B1977" t="s">
        <v>3</v>
      </c>
      <c r="G1977">
        <v>7200</v>
      </c>
      <c r="H1977">
        <f t="shared" si="68"/>
        <v>3</v>
      </c>
      <c r="I1977">
        <f t="shared" si="69"/>
        <v>2022</v>
      </c>
    </row>
    <row r="1978" spans="1:9" x14ac:dyDescent="0.3">
      <c r="A1978" s="1">
        <v>44629</v>
      </c>
      <c r="B1978" t="s">
        <v>3</v>
      </c>
      <c r="C1978" t="s">
        <v>148</v>
      </c>
      <c r="D1978" t="s">
        <v>37</v>
      </c>
      <c r="E1978" t="s">
        <v>182</v>
      </c>
      <c r="F1978">
        <v>1900</v>
      </c>
      <c r="H1978">
        <f t="shared" si="68"/>
        <v>3</v>
      </c>
      <c r="I1978">
        <f t="shared" si="69"/>
        <v>2022</v>
      </c>
    </row>
    <row r="1979" spans="1:9" x14ac:dyDescent="0.3">
      <c r="A1979" s="1">
        <v>44629</v>
      </c>
      <c r="B1979" t="s">
        <v>3</v>
      </c>
      <c r="C1979" t="s">
        <v>98</v>
      </c>
      <c r="D1979" t="s">
        <v>37</v>
      </c>
      <c r="E1979" t="s">
        <v>26</v>
      </c>
      <c r="F1979">
        <v>5300</v>
      </c>
      <c r="H1979">
        <f t="shared" si="68"/>
        <v>3</v>
      </c>
      <c r="I1979">
        <f t="shared" si="69"/>
        <v>2022</v>
      </c>
    </row>
    <row r="1980" spans="1:9" x14ac:dyDescent="0.3">
      <c r="A1980" s="1">
        <v>44629</v>
      </c>
      <c r="B1980" t="s">
        <v>248</v>
      </c>
      <c r="G1980">
        <v>10735</v>
      </c>
      <c r="H1980">
        <f t="shared" si="68"/>
        <v>3</v>
      </c>
      <c r="I1980">
        <f t="shared" si="69"/>
        <v>2022</v>
      </c>
    </row>
    <row r="1981" spans="1:9" x14ac:dyDescent="0.3">
      <c r="A1981" s="1">
        <v>44629</v>
      </c>
      <c r="B1981" t="s">
        <v>248</v>
      </c>
      <c r="C1981" t="s">
        <v>40</v>
      </c>
      <c r="D1981" t="s">
        <v>37</v>
      </c>
      <c r="E1981" t="s">
        <v>104</v>
      </c>
      <c r="F1981">
        <v>3300</v>
      </c>
      <c r="H1981">
        <f t="shared" si="68"/>
        <v>3</v>
      </c>
      <c r="I1981">
        <f t="shared" si="69"/>
        <v>2022</v>
      </c>
    </row>
    <row r="1982" spans="1:9" x14ac:dyDescent="0.3">
      <c r="A1982" s="1">
        <v>44629</v>
      </c>
      <c r="B1982" t="s">
        <v>248</v>
      </c>
      <c r="C1982" t="s">
        <v>38</v>
      </c>
      <c r="D1982" t="s">
        <v>23</v>
      </c>
      <c r="E1982" t="s">
        <v>212</v>
      </c>
      <c r="F1982">
        <v>1245</v>
      </c>
      <c r="H1982">
        <f t="shared" si="68"/>
        <v>3</v>
      </c>
      <c r="I1982">
        <f t="shared" si="69"/>
        <v>2022</v>
      </c>
    </row>
    <row r="1983" spans="1:9" x14ac:dyDescent="0.3">
      <c r="A1983" s="1">
        <v>44629</v>
      </c>
      <c r="B1983" t="s">
        <v>248</v>
      </c>
      <c r="C1983" t="s">
        <v>44</v>
      </c>
      <c r="D1983" t="s">
        <v>23</v>
      </c>
      <c r="E1983" t="s">
        <v>102</v>
      </c>
      <c r="F1983">
        <v>1440</v>
      </c>
      <c r="H1983">
        <f t="shared" si="68"/>
        <v>3</v>
      </c>
      <c r="I1983">
        <f t="shared" si="69"/>
        <v>2022</v>
      </c>
    </row>
    <row r="1984" spans="1:9" x14ac:dyDescent="0.3">
      <c r="A1984" s="1">
        <v>44629</v>
      </c>
      <c r="B1984" t="s">
        <v>248</v>
      </c>
      <c r="C1984" t="s">
        <v>94</v>
      </c>
      <c r="D1984" t="s">
        <v>251</v>
      </c>
      <c r="E1984" t="s">
        <v>186</v>
      </c>
      <c r="F1984">
        <v>3800</v>
      </c>
      <c r="H1984">
        <f t="shared" si="68"/>
        <v>3</v>
      </c>
      <c r="I1984">
        <f t="shared" si="69"/>
        <v>2022</v>
      </c>
    </row>
    <row r="1985" spans="1:9" x14ac:dyDescent="0.3">
      <c r="A1985" s="1">
        <v>44629</v>
      </c>
      <c r="B1985" t="s">
        <v>248</v>
      </c>
      <c r="C1985" t="s">
        <v>148</v>
      </c>
      <c r="D1985" t="s">
        <v>25</v>
      </c>
      <c r="E1985" t="s">
        <v>182</v>
      </c>
      <c r="F1985">
        <v>950</v>
      </c>
      <c r="H1985">
        <f t="shared" si="68"/>
        <v>3</v>
      </c>
      <c r="I1985">
        <f t="shared" si="69"/>
        <v>2022</v>
      </c>
    </row>
    <row r="1986" spans="1:9" x14ac:dyDescent="0.3">
      <c r="A1986" s="1">
        <v>44629</v>
      </c>
      <c r="B1986" t="s">
        <v>299</v>
      </c>
      <c r="G1986">
        <v>2400</v>
      </c>
      <c r="H1986">
        <f t="shared" si="68"/>
        <v>3</v>
      </c>
      <c r="I1986">
        <f t="shared" si="69"/>
        <v>2022</v>
      </c>
    </row>
    <row r="1987" spans="1:9" x14ac:dyDescent="0.3">
      <c r="A1987" s="1">
        <v>44629</v>
      </c>
      <c r="B1987" t="s">
        <v>299</v>
      </c>
      <c r="C1987" t="s">
        <v>359</v>
      </c>
      <c r="D1987" t="s">
        <v>93</v>
      </c>
      <c r="E1987" t="s">
        <v>160</v>
      </c>
      <c r="F1987">
        <v>2400</v>
      </c>
      <c r="H1987">
        <f t="shared" si="68"/>
        <v>3</v>
      </c>
      <c r="I1987">
        <f t="shared" si="69"/>
        <v>2022</v>
      </c>
    </row>
    <row r="1988" spans="1:9" x14ac:dyDescent="0.3">
      <c r="A1988" s="1">
        <v>44629</v>
      </c>
      <c r="B1988" t="s">
        <v>232</v>
      </c>
      <c r="G1988">
        <v>3360</v>
      </c>
      <c r="H1988">
        <f t="shared" si="68"/>
        <v>3</v>
      </c>
      <c r="I1988">
        <f t="shared" si="69"/>
        <v>2022</v>
      </c>
    </row>
    <row r="1989" spans="1:9" x14ac:dyDescent="0.3">
      <c r="A1989" s="1">
        <v>44629</v>
      </c>
      <c r="B1989" t="s">
        <v>232</v>
      </c>
      <c r="C1989" t="s">
        <v>101</v>
      </c>
      <c r="D1989" t="s">
        <v>30</v>
      </c>
      <c r="E1989" t="s">
        <v>102</v>
      </c>
      <c r="F1989">
        <v>3360</v>
      </c>
      <c r="H1989">
        <f t="shared" si="68"/>
        <v>3</v>
      </c>
      <c r="I1989">
        <f t="shared" si="69"/>
        <v>2022</v>
      </c>
    </row>
    <row r="1990" spans="1:9" x14ac:dyDescent="0.3">
      <c r="A1990" s="1">
        <v>44629</v>
      </c>
      <c r="B1990" t="s">
        <v>82</v>
      </c>
      <c r="G1990">
        <v>10940</v>
      </c>
      <c r="H1990">
        <f t="shared" si="68"/>
        <v>3</v>
      </c>
      <c r="I1990">
        <f t="shared" si="69"/>
        <v>2022</v>
      </c>
    </row>
    <row r="1991" spans="1:9" x14ac:dyDescent="0.3">
      <c r="A1991" s="1">
        <v>44629</v>
      </c>
      <c r="B1991" t="s">
        <v>82</v>
      </c>
      <c r="C1991" t="s">
        <v>44</v>
      </c>
      <c r="D1991" t="s">
        <v>23</v>
      </c>
      <c r="E1991" t="s">
        <v>102</v>
      </c>
      <c r="F1991">
        <v>1440</v>
      </c>
      <c r="H1991">
        <f t="shared" si="68"/>
        <v>3</v>
      </c>
      <c r="I1991">
        <f t="shared" si="69"/>
        <v>2022</v>
      </c>
    </row>
    <row r="1992" spans="1:9" x14ac:dyDescent="0.3">
      <c r="A1992" s="1">
        <v>44629</v>
      </c>
      <c r="B1992" t="s">
        <v>82</v>
      </c>
      <c r="C1992" t="s">
        <v>38</v>
      </c>
      <c r="D1992" t="s">
        <v>25</v>
      </c>
      <c r="E1992" t="s">
        <v>212</v>
      </c>
      <c r="F1992">
        <v>2075</v>
      </c>
      <c r="H1992">
        <f t="shared" si="68"/>
        <v>3</v>
      </c>
      <c r="I1992">
        <f t="shared" si="69"/>
        <v>2022</v>
      </c>
    </row>
    <row r="1993" spans="1:9" x14ac:dyDescent="0.3">
      <c r="A1993" s="1">
        <v>44629</v>
      </c>
      <c r="B1993" t="s">
        <v>82</v>
      </c>
      <c r="C1993" t="s">
        <v>11</v>
      </c>
      <c r="D1993" t="s">
        <v>25</v>
      </c>
      <c r="E1993" t="s">
        <v>212</v>
      </c>
      <c r="F1993">
        <v>2075</v>
      </c>
      <c r="H1993">
        <f t="shared" si="68"/>
        <v>3</v>
      </c>
      <c r="I1993">
        <f t="shared" si="69"/>
        <v>2022</v>
      </c>
    </row>
    <row r="1994" spans="1:9" x14ac:dyDescent="0.3">
      <c r="A1994" s="1">
        <v>44629</v>
      </c>
      <c r="B1994" t="s">
        <v>82</v>
      </c>
      <c r="C1994" t="s">
        <v>98</v>
      </c>
      <c r="D1994" t="s">
        <v>37</v>
      </c>
      <c r="E1994" t="s">
        <v>14</v>
      </c>
      <c r="F1994">
        <v>5350</v>
      </c>
      <c r="H1994">
        <f t="shared" si="68"/>
        <v>3</v>
      </c>
      <c r="I1994">
        <f t="shared" si="69"/>
        <v>2022</v>
      </c>
    </row>
    <row r="1995" spans="1:9" x14ac:dyDescent="0.3">
      <c r="A1995" s="1">
        <v>44631</v>
      </c>
      <c r="B1995" t="s">
        <v>398</v>
      </c>
      <c r="G1995">
        <v>32010</v>
      </c>
      <c r="H1995">
        <f t="shared" si="68"/>
        <v>3</v>
      </c>
      <c r="I1995">
        <f t="shared" si="69"/>
        <v>2022</v>
      </c>
    </row>
    <row r="1996" spans="1:9" x14ac:dyDescent="0.3">
      <c r="A1996" s="1">
        <v>44631</v>
      </c>
      <c r="B1996" t="s">
        <v>398</v>
      </c>
      <c r="C1996" t="s">
        <v>40</v>
      </c>
      <c r="D1996" t="s">
        <v>61</v>
      </c>
      <c r="E1996" t="s">
        <v>104</v>
      </c>
      <c r="F1996">
        <v>4950</v>
      </c>
      <c r="H1996">
        <f t="shared" si="68"/>
        <v>3</v>
      </c>
      <c r="I1996">
        <f t="shared" si="69"/>
        <v>2022</v>
      </c>
    </row>
    <row r="1997" spans="1:9" x14ac:dyDescent="0.3">
      <c r="A1997" s="1">
        <v>44631</v>
      </c>
      <c r="B1997" t="s">
        <v>398</v>
      </c>
      <c r="C1997" t="s">
        <v>142</v>
      </c>
      <c r="D1997" t="s">
        <v>25</v>
      </c>
      <c r="E1997" t="s">
        <v>31</v>
      </c>
      <c r="F1997">
        <v>2600</v>
      </c>
      <c r="H1997">
        <f t="shared" si="68"/>
        <v>3</v>
      </c>
      <c r="I1997">
        <f t="shared" si="69"/>
        <v>2022</v>
      </c>
    </row>
    <row r="1998" spans="1:9" x14ac:dyDescent="0.3">
      <c r="A1998" s="1">
        <v>44631</v>
      </c>
      <c r="B1998" t="s">
        <v>398</v>
      </c>
      <c r="C1998" t="s">
        <v>123</v>
      </c>
      <c r="D1998" t="s">
        <v>66</v>
      </c>
      <c r="E1998" t="s">
        <v>237</v>
      </c>
      <c r="F1998">
        <v>8690</v>
      </c>
      <c r="H1998">
        <f t="shared" si="68"/>
        <v>3</v>
      </c>
      <c r="I1998">
        <f t="shared" si="69"/>
        <v>2022</v>
      </c>
    </row>
    <row r="1999" spans="1:9" x14ac:dyDescent="0.3">
      <c r="A1999" s="1">
        <v>44631</v>
      </c>
      <c r="B1999" t="s">
        <v>398</v>
      </c>
      <c r="C1999" t="s">
        <v>101</v>
      </c>
      <c r="D1999" t="s">
        <v>30</v>
      </c>
      <c r="E1999" t="s">
        <v>202</v>
      </c>
      <c r="F1999">
        <v>3430</v>
      </c>
      <c r="H1999">
        <f t="shared" si="68"/>
        <v>3</v>
      </c>
      <c r="I1999">
        <f t="shared" si="69"/>
        <v>2022</v>
      </c>
    </row>
    <row r="2000" spans="1:9" x14ac:dyDescent="0.3">
      <c r="A2000" s="1">
        <v>44631</v>
      </c>
      <c r="B2000" t="s">
        <v>398</v>
      </c>
      <c r="C2000" t="s">
        <v>125</v>
      </c>
      <c r="D2000" t="s">
        <v>25</v>
      </c>
      <c r="E2000" t="s">
        <v>109</v>
      </c>
      <c r="F2000">
        <v>3500</v>
      </c>
      <c r="H2000">
        <f t="shared" si="68"/>
        <v>3</v>
      </c>
      <c r="I2000">
        <f t="shared" si="69"/>
        <v>2022</v>
      </c>
    </row>
    <row r="2001" spans="1:9" x14ac:dyDescent="0.3">
      <c r="A2001" s="1">
        <v>44631</v>
      </c>
      <c r="B2001" t="s">
        <v>398</v>
      </c>
      <c r="C2001" t="s">
        <v>44</v>
      </c>
      <c r="D2001" t="s">
        <v>12</v>
      </c>
      <c r="E2001" t="s">
        <v>102</v>
      </c>
      <c r="F2001">
        <v>960</v>
      </c>
      <c r="H2001">
        <f t="shared" si="68"/>
        <v>3</v>
      </c>
      <c r="I2001">
        <f t="shared" si="69"/>
        <v>2022</v>
      </c>
    </row>
    <row r="2002" spans="1:9" x14ac:dyDescent="0.3">
      <c r="A2002" s="1">
        <v>44631</v>
      </c>
      <c r="B2002" t="s">
        <v>398</v>
      </c>
      <c r="C2002" t="s">
        <v>11</v>
      </c>
      <c r="D2002" t="s">
        <v>12</v>
      </c>
      <c r="E2002" t="s">
        <v>102</v>
      </c>
      <c r="F2002">
        <v>960</v>
      </c>
      <c r="H2002">
        <f t="shared" si="68"/>
        <v>3</v>
      </c>
      <c r="I2002">
        <f t="shared" si="69"/>
        <v>2022</v>
      </c>
    </row>
    <row r="2003" spans="1:9" x14ac:dyDescent="0.3">
      <c r="A2003" s="1">
        <v>44631</v>
      </c>
      <c r="B2003" t="s">
        <v>398</v>
      </c>
      <c r="C2003" t="s">
        <v>364</v>
      </c>
      <c r="D2003" t="s">
        <v>93</v>
      </c>
      <c r="E2003" t="s">
        <v>100</v>
      </c>
      <c r="F2003">
        <v>1400</v>
      </c>
      <c r="H2003">
        <f t="shared" si="68"/>
        <v>3</v>
      </c>
      <c r="I2003">
        <f t="shared" si="69"/>
        <v>2022</v>
      </c>
    </row>
    <row r="2004" spans="1:9" x14ac:dyDescent="0.3">
      <c r="A2004" s="1">
        <v>44631</v>
      </c>
      <c r="B2004" t="s">
        <v>398</v>
      </c>
      <c r="C2004" t="s">
        <v>94</v>
      </c>
      <c r="D2004" t="s">
        <v>251</v>
      </c>
      <c r="E2004" t="s">
        <v>186</v>
      </c>
      <c r="F2004">
        <v>3800</v>
      </c>
      <c r="H2004">
        <f t="shared" si="68"/>
        <v>3</v>
      </c>
      <c r="I2004">
        <f t="shared" si="69"/>
        <v>2022</v>
      </c>
    </row>
    <row r="2005" spans="1:9" x14ac:dyDescent="0.3">
      <c r="A2005" s="1">
        <v>44631</v>
      </c>
      <c r="B2005" t="s">
        <v>398</v>
      </c>
      <c r="C2005" t="s">
        <v>394</v>
      </c>
      <c r="D2005" t="s">
        <v>12</v>
      </c>
      <c r="E2005" t="s">
        <v>170</v>
      </c>
      <c r="F2005">
        <v>1720</v>
      </c>
      <c r="H2005">
        <f t="shared" si="68"/>
        <v>3</v>
      </c>
      <c r="I2005">
        <f t="shared" si="69"/>
        <v>2022</v>
      </c>
    </row>
    <row r="2006" spans="1:9" x14ac:dyDescent="0.3">
      <c r="A2006" s="1">
        <v>44631</v>
      </c>
      <c r="B2006" t="s">
        <v>398</v>
      </c>
      <c r="G2006">
        <v>11960</v>
      </c>
      <c r="H2006">
        <f t="shared" ref="H2006:H2066" si="70">MONTH(A2006)</f>
        <v>3</v>
      </c>
      <c r="I2006">
        <f t="shared" ref="I2006:I2066" si="71">YEAR(A2006)</f>
        <v>2022</v>
      </c>
    </row>
    <row r="2007" spans="1:9" x14ac:dyDescent="0.3">
      <c r="A2007" s="1">
        <v>44631</v>
      </c>
      <c r="B2007" t="s">
        <v>398</v>
      </c>
      <c r="C2007" t="s">
        <v>194</v>
      </c>
      <c r="D2007">
        <v>597</v>
      </c>
      <c r="E2007" t="s">
        <v>86</v>
      </c>
      <c r="F2007">
        <v>11960</v>
      </c>
      <c r="H2007">
        <f t="shared" si="70"/>
        <v>3</v>
      </c>
      <c r="I2007">
        <f t="shared" si="71"/>
        <v>2022</v>
      </c>
    </row>
    <row r="2008" spans="1:9" x14ac:dyDescent="0.3">
      <c r="A2008" s="1">
        <v>44631</v>
      </c>
      <c r="B2008" t="s">
        <v>398</v>
      </c>
      <c r="C2008" t="s">
        <v>239</v>
      </c>
      <c r="D2008" t="s">
        <v>12</v>
      </c>
      <c r="E2008" t="s">
        <v>170</v>
      </c>
      <c r="F2008">
        <v>1720</v>
      </c>
      <c r="H2008">
        <f t="shared" si="70"/>
        <v>3</v>
      </c>
      <c r="I2008">
        <f t="shared" si="71"/>
        <v>2022</v>
      </c>
    </row>
    <row r="2009" spans="1:9" x14ac:dyDescent="0.3">
      <c r="A2009" s="1">
        <v>44631</v>
      </c>
      <c r="B2009" t="s">
        <v>398</v>
      </c>
      <c r="C2009" t="s">
        <v>219</v>
      </c>
      <c r="D2009" t="s">
        <v>23</v>
      </c>
      <c r="E2009" t="s">
        <v>229</v>
      </c>
      <c r="F2009">
        <v>1935</v>
      </c>
      <c r="H2009">
        <f t="shared" si="70"/>
        <v>3</v>
      </c>
      <c r="I2009">
        <f t="shared" si="71"/>
        <v>2022</v>
      </c>
    </row>
    <row r="2010" spans="1:9" x14ac:dyDescent="0.3">
      <c r="A2010" s="1">
        <v>44631</v>
      </c>
      <c r="B2010" t="s">
        <v>398</v>
      </c>
      <c r="C2010" t="s">
        <v>394</v>
      </c>
      <c r="D2010" t="s">
        <v>12</v>
      </c>
      <c r="E2010" t="s">
        <v>99</v>
      </c>
      <c r="F2010">
        <v>1080</v>
      </c>
      <c r="H2010">
        <f t="shared" si="70"/>
        <v>3</v>
      </c>
      <c r="I2010">
        <f t="shared" si="71"/>
        <v>2022</v>
      </c>
    </row>
    <row r="2011" spans="1:9" x14ac:dyDescent="0.3">
      <c r="A2011" s="1">
        <v>44631</v>
      </c>
      <c r="B2011" t="s">
        <v>398</v>
      </c>
      <c r="C2011" t="s">
        <v>204</v>
      </c>
      <c r="D2011" t="s">
        <v>5</v>
      </c>
      <c r="E2011" t="s">
        <v>399</v>
      </c>
      <c r="F2011">
        <v>845</v>
      </c>
      <c r="H2011">
        <f t="shared" si="70"/>
        <v>3</v>
      </c>
      <c r="I2011">
        <f t="shared" si="71"/>
        <v>2022</v>
      </c>
    </row>
    <row r="2012" spans="1:9" x14ac:dyDescent="0.3">
      <c r="A2012" s="1">
        <v>44631</v>
      </c>
      <c r="B2012" t="s">
        <v>398</v>
      </c>
      <c r="C2012" t="s">
        <v>216</v>
      </c>
      <c r="D2012" t="s">
        <v>5</v>
      </c>
      <c r="E2012" t="s">
        <v>399</v>
      </c>
      <c r="F2012">
        <v>845</v>
      </c>
      <c r="H2012">
        <f t="shared" si="70"/>
        <v>3</v>
      </c>
      <c r="I2012">
        <f t="shared" si="71"/>
        <v>2022</v>
      </c>
    </row>
    <row r="2013" spans="1:9" x14ac:dyDescent="0.3">
      <c r="A2013" s="1">
        <v>44631</v>
      </c>
      <c r="B2013" t="s">
        <v>398</v>
      </c>
      <c r="C2013" t="s">
        <v>381</v>
      </c>
      <c r="D2013" t="s">
        <v>16</v>
      </c>
      <c r="E2013" t="s">
        <v>382</v>
      </c>
      <c r="F2013">
        <v>1140</v>
      </c>
      <c r="H2013">
        <f t="shared" si="70"/>
        <v>3</v>
      </c>
      <c r="I2013">
        <f t="shared" si="71"/>
        <v>2022</v>
      </c>
    </row>
    <row r="2014" spans="1:9" x14ac:dyDescent="0.3">
      <c r="A2014" s="1">
        <v>44631</v>
      </c>
      <c r="B2014" t="s">
        <v>398</v>
      </c>
      <c r="C2014" t="s">
        <v>98</v>
      </c>
      <c r="D2014" t="s">
        <v>12</v>
      </c>
      <c r="E2014" t="s">
        <v>99</v>
      </c>
      <c r="F2014">
        <v>1080</v>
      </c>
      <c r="H2014">
        <f t="shared" si="70"/>
        <v>3</v>
      </c>
      <c r="I2014">
        <f t="shared" si="71"/>
        <v>2022</v>
      </c>
    </row>
    <row r="2015" spans="1:9" x14ac:dyDescent="0.3">
      <c r="A2015" s="1">
        <v>44631</v>
      </c>
      <c r="B2015" t="s">
        <v>398</v>
      </c>
      <c r="C2015" t="s">
        <v>112</v>
      </c>
      <c r="D2015" t="s">
        <v>25</v>
      </c>
      <c r="E2015" t="s">
        <v>229</v>
      </c>
      <c r="F2015">
        <v>3225</v>
      </c>
      <c r="H2015">
        <f t="shared" si="70"/>
        <v>3</v>
      </c>
      <c r="I2015">
        <f t="shared" si="71"/>
        <v>2022</v>
      </c>
    </row>
    <row r="2016" spans="1:9" x14ac:dyDescent="0.3">
      <c r="A2016" s="1">
        <v>44631</v>
      </c>
      <c r="B2016" t="s">
        <v>398</v>
      </c>
      <c r="C2016" t="s">
        <v>359</v>
      </c>
      <c r="D2016" t="s">
        <v>12</v>
      </c>
      <c r="E2016" t="s">
        <v>160</v>
      </c>
      <c r="F2016">
        <v>1200</v>
      </c>
      <c r="H2016">
        <f t="shared" si="70"/>
        <v>3</v>
      </c>
      <c r="I2016">
        <f t="shared" si="71"/>
        <v>2022</v>
      </c>
    </row>
    <row r="2017" spans="1:9" x14ac:dyDescent="0.3">
      <c r="A2017" s="1">
        <v>44631</v>
      </c>
      <c r="B2017" t="s">
        <v>398</v>
      </c>
      <c r="C2017" t="s">
        <v>188</v>
      </c>
      <c r="D2017" t="s">
        <v>5</v>
      </c>
      <c r="E2017" t="s">
        <v>107</v>
      </c>
      <c r="F2017">
        <v>425</v>
      </c>
      <c r="H2017">
        <f t="shared" si="70"/>
        <v>3</v>
      </c>
      <c r="I2017">
        <f t="shared" si="71"/>
        <v>2022</v>
      </c>
    </row>
    <row r="2018" spans="1:9" x14ac:dyDescent="0.3">
      <c r="A2018" s="1">
        <v>44631</v>
      </c>
      <c r="B2018" t="s">
        <v>24</v>
      </c>
      <c r="G2018">
        <v>-1535</v>
      </c>
      <c r="H2018">
        <f t="shared" si="70"/>
        <v>3</v>
      </c>
      <c r="I2018">
        <f t="shared" si="71"/>
        <v>2022</v>
      </c>
    </row>
    <row r="2019" spans="1:9" x14ac:dyDescent="0.3">
      <c r="A2019" s="1">
        <v>44631</v>
      </c>
      <c r="B2019" t="s">
        <v>3</v>
      </c>
      <c r="G2019">
        <v>8750</v>
      </c>
      <c r="H2019">
        <f t="shared" si="70"/>
        <v>3</v>
      </c>
      <c r="I2019">
        <f t="shared" si="71"/>
        <v>2022</v>
      </c>
    </row>
    <row r="2020" spans="1:9" x14ac:dyDescent="0.3">
      <c r="A2020" s="1">
        <v>44631</v>
      </c>
      <c r="B2020" t="s">
        <v>3</v>
      </c>
      <c r="C2020" t="s">
        <v>94</v>
      </c>
      <c r="D2020" t="s">
        <v>244</v>
      </c>
      <c r="E2020" t="s">
        <v>373</v>
      </c>
      <c r="F2020">
        <v>5550</v>
      </c>
      <c r="H2020">
        <f t="shared" si="70"/>
        <v>3</v>
      </c>
      <c r="I2020">
        <f t="shared" si="71"/>
        <v>2022</v>
      </c>
    </row>
    <row r="2021" spans="1:9" x14ac:dyDescent="0.3">
      <c r="A2021" s="1">
        <v>44631</v>
      </c>
      <c r="B2021" t="s">
        <v>3</v>
      </c>
      <c r="C2021" t="s">
        <v>40</v>
      </c>
      <c r="D2021" t="s">
        <v>18</v>
      </c>
      <c r="E2021" t="s">
        <v>104</v>
      </c>
      <c r="F2021">
        <v>1980</v>
      </c>
      <c r="H2021">
        <f t="shared" si="70"/>
        <v>3</v>
      </c>
      <c r="I2021">
        <f t="shared" si="71"/>
        <v>2022</v>
      </c>
    </row>
    <row r="2022" spans="1:9" x14ac:dyDescent="0.3">
      <c r="A2022" s="1">
        <v>44631</v>
      </c>
      <c r="B2022" t="s">
        <v>3</v>
      </c>
      <c r="C2022" t="s">
        <v>98</v>
      </c>
      <c r="D2022" t="s">
        <v>5</v>
      </c>
      <c r="E2022" t="s">
        <v>14</v>
      </c>
      <c r="F2022">
        <v>535</v>
      </c>
      <c r="H2022">
        <f t="shared" si="70"/>
        <v>3</v>
      </c>
      <c r="I2022">
        <f t="shared" si="71"/>
        <v>2022</v>
      </c>
    </row>
    <row r="2023" spans="1:9" x14ac:dyDescent="0.3">
      <c r="A2023" s="1">
        <v>44631</v>
      </c>
      <c r="B2023" t="s">
        <v>3</v>
      </c>
      <c r="C2023" t="s">
        <v>171</v>
      </c>
      <c r="D2023" t="s">
        <v>5</v>
      </c>
      <c r="E2023" t="s">
        <v>129</v>
      </c>
      <c r="F2023">
        <v>685</v>
      </c>
      <c r="H2023">
        <f t="shared" si="70"/>
        <v>3</v>
      </c>
      <c r="I2023">
        <f t="shared" si="71"/>
        <v>2022</v>
      </c>
    </row>
    <row r="2024" spans="1:9" x14ac:dyDescent="0.3">
      <c r="A2024" s="1">
        <v>44631</v>
      </c>
      <c r="B2024" t="s">
        <v>8</v>
      </c>
      <c r="G2024">
        <v>9255</v>
      </c>
      <c r="H2024">
        <f t="shared" si="70"/>
        <v>3</v>
      </c>
      <c r="I2024">
        <f t="shared" si="71"/>
        <v>2022</v>
      </c>
    </row>
    <row r="2025" spans="1:9" x14ac:dyDescent="0.3">
      <c r="A2025" s="1">
        <v>44631</v>
      </c>
      <c r="B2025" t="s">
        <v>8</v>
      </c>
      <c r="C2025" t="s">
        <v>38</v>
      </c>
      <c r="D2025" t="s">
        <v>93</v>
      </c>
      <c r="E2025" t="s">
        <v>212</v>
      </c>
      <c r="F2025">
        <v>1660</v>
      </c>
      <c r="H2025">
        <f t="shared" si="70"/>
        <v>3</v>
      </c>
      <c r="I2025">
        <f t="shared" si="71"/>
        <v>2022</v>
      </c>
    </row>
    <row r="2026" spans="1:9" x14ac:dyDescent="0.3">
      <c r="A2026" s="1">
        <v>44631</v>
      </c>
      <c r="B2026" t="s">
        <v>8</v>
      </c>
      <c r="C2026" t="s">
        <v>11</v>
      </c>
      <c r="D2026" t="s">
        <v>25</v>
      </c>
      <c r="E2026" t="s">
        <v>212</v>
      </c>
      <c r="F2026">
        <v>2075</v>
      </c>
      <c r="H2026">
        <f t="shared" si="70"/>
        <v>3</v>
      </c>
      <c r="I2026">
        <f t="shared" si="71"/>
        <v>2022</v>
      </c>
    </row>
    <row r="2027" spans="1:9" x14ac:dyDescent="0.3">
      <c r="A2027" s="1">
        <v>44631</v>
      </c>
      <c r="B2027" t="s">
        <v>8</v>
      </c>
      <c r="C2027" t="s">
        <v>364</v>
      </c>
      <c r="D2027" t="s">
        <v>74</v>
      </c>
      <c r="E2027" t="s">
        <v>13</v>
      </c>
      <c r="F2027">
        <v>5520</v>
      </c>
      <c r="H2027">
        <f t="shared" si="70"/>
        <v>3</v>
      </c>
      <c r="I2027">
        <f t="shared" si="71"/>
        <v>2022</v>
      </c>
    </row>
    <row r="2028" spans="1:9" x14ac:dyDescent="0.3">
      <c r="A2028" s="1">
        <v>44631</v>
      </c>
      <c r="B2028" t="s">
        <v>3</v>
      </c>
      <c r="G2028">
        <v>4910</v>
      </c>
      <c r="H2028">
        <f t="shared" si="70"/>
        <v>3</v>
      </c>
      <c r="I2028">
        <f t="shared" si="71"/>
        <v>2022</v>
      </c>
    </row>
    <row r="2029" spans="1:9" x14ac:dyDescent="0.3">
      <c r="A2029" s="1">
        <v>44631</v>
      </c>
      <c r="B2029" t="s">
        <v>3</v>
      </c>
      <c r="C2029" t="s">
        <v>40</v>
      </c>
      <c r="D2029" t="s">
        <v>37</v>
      </c>
      <c r="E2029" t="s">
        <v>90</v>
      </c>
      <c r="F2029">
        <v>3200</v>
      </c>
      <c r="H2029">
        <f t="shared" si="70"/>
        <v>3</v>
      </c>
      <c r="I2029">
        <f t="shared" si="71"/>
        <v>2022</v>
      </c>
    </row>
    <row r="2030" spans="1:9" x14ac:dyDescent="0.3">
      <c r="A2030" s="1">
        <v>44631</v>
      </c>
      <c r="B2030" t="s">
        <v>3</v>
      </c>
      <c r="C2030" t="s">
        <v>87</v>
      </c>
      <c r="D2030" t="s">
        <v>25</v>
      </c>
      <c r="E2030" t="s">
        <v>62</v>
      </c>
      <c r="F2030">
        <v>1710</v>
      </c>
      <c r="H2030">
        <f t="shared" si="70"/>
        <v>3</v>
      </c>
      <c r="I2030">
        <f t="shared" si="71"/>
        <v>2022</v>
      </c>
    </row>
    <row r="2031" spans="1:9" x14ac:dyDescent="0.3">
      <c r="A2031" s="1">
        <v>44631</v>
      </c>
      <c r="B2031" t="s">
        <v>8</v>
      </c>
      <c r="G2031">
        <v>32000</v>
      </c>
      <c r="H2031">
        <f t="shared" si="70"/>
        <v>3</v>
      </c>
      <c r="I2031">
        <f t="shared" si="71"/>
        <v>2022</v>
      </c>
    </row>
    <row r="2032" spans="1:9" x14ac:dyDescent="0.3">
      <c r="A2032" s="1">
        <v>44631</v>
      </c>
      <c r="B2032" t="s">
        <v>8</v>
      </c>
      <c r="C2032" t="s">
        <v>194</v>
      </c>
      <c r="D2032">
        <v>598</v>
      </c>
      <c r="F2032">
        <v>32000</v>
      </c>
      <c r="H2032">
        <f t="shared" si="70"/>
        <v>3</v>
      </c>
      <c r="I2032">
        <f t="shared" si="71"/>
        <v>2022</v>
      </c>
    </row>
    <row r="2033" spans="1:9" x14ac:dyDescent="0.3">
      <c r="A2033" s="1">
        <v>44631</v>
      </c>
      <c r="B2033" t="s">
        <v>8</v>
      </c>
      <c r="C2033" t="s">
        <v>40</v>
      </c>
      <c r="D2033" t="s">
        <v>65</v>
      </c>
      <c r="E2033" t="s">
        <v>90</v>
      </c>
      <c r="F2033">
        <v>32000</v>
      </c>
      <c r="H2033">
        <f t="shared" si="70"/>
        <v>3</v>
      </c>
      <c r="I2033">
        <f t="shared" si="71"/>
        <v>2022</v>
      </c>
    </row>
    <row r="2034" spans="1:9" x14ac:dyDescent="0.3">
      <c r="A2034" s="1">
        <v>44631</v>
      </c>
      <c r="B2034" t="s">
        <v>10</v>
      </c>
      <c r="G2034">
        <v>16000</v>
      </c>
      <c r="H2034">
        <f t="shared" si="70"/>
        <v>3</v>
      </c>
      <c r="I2034">
        <f t="shared" si="71"/>
        <v>2022</v>
      </c>
    </row>
    <row r="2035" spans="1:9" x14ac:dyDescent="0.3">
      <c r="A2035" s="1">
        <v>44631</v>
      </c>
      <c r="B2035" t="s">
        <v>10</v>
      </c>
      <c r="C2035" t="s">
        <v>40</v>
      </c>
      <c r="D2035" t="s">
        <v>52</v>
      </c>
      <c r="E2035" t="s">
        <v>90</v>
      </c>
      <c r="F2035">
        <v>16000</v>
      </c>
      <c r="H2035">
        <f t="shared" si="70"/>
        <v>3</v>
      </c>
      <c r="I2035">
        <f t="shared" si="71"/>
        <v>2022</v>
      </c>
    </row>
    <row r="2036" spans="1:9" x14ac:dyDescent="0.3">
      <c r="A2036" s="1">
        <v>44633</v>
      </c>
      <c r="B2036" t="s">
        <v>3</v>
      </c>
      <c r="G2036">
        <v>3340</v>
      </c>
      <c r="H2036">
        <f t="shared" si="70"/>
        <v>3</v>
      </c>
      <c r="I2036">
        <f t="shared" si="71"/>
        <v>2022</v>
      </c>
    </row>
    <row r="2037" spans="1:9" x14ac:dyDescent="0.3">
      <c r="A2037" s="1">
        <v>44633</v>
      </c>
      <c r="B2037" t="s">
        <v>3</v>
      </c>
      <c r="C2037" t="s">
        <v>359</v>
      </c>
      <c r="D2037" t="s">
        <v>25</v>
      </c>
      <c r="E2037" t="s">
        <v>400</v>
      </c>
      <c r="F2037">
        <v>2980</v>
      </c>
      <c r="H2037">
        <f t="shared" si="70"/>
        <v>3</v>
      </c>
      <c r="I2037">
        <f t="shared" si="71"/>
        <v>2022</v>
      </c>
    </row>
    <row r="2038" spans="1:9" x14ac:dyDescent="0.3">
      <c r="A2038" s="1">
        <v>44633</v>
      </c>
      <c r="B2038" t="s">
        <v>3</v>
      </c>
      <c r="C2038" t="s">
        <v>94</v>
      </c>
      <c r="D2038" t="s">
        <v>131</v>
      </c>
      <c r="E2038" t="s">
        <v>181</v>
      </c>
      <c r="F2038">
        <v>160</v>
      </c>
      <c r="H2038">
        <f t="shared" si="70"/>
        <v>3</v>
      </c>
      <c r="I2038">
        <f t="shared" si="71"/>
        <v>2022</v>
      </c>
    </row>
    <row r="2039" spans="1:9" x14ac:dyDescent="0.3">
      <c r="A2039" s="1">
        <v>44633</v>
      </c>
      <c r="B2039" t="s">
        <v>3</v>
      </c>
      <c r="C2039" t="s">
        <v>94</v>
      </c>
      <c r="D2039" t="s">
        <v>131</v>
      </c>
      <c r="E2039" t="s">
        <v>132</v>
      </c>
      <c r="F2039">
        <v>200</v>
      </c>
      <c r="H2039">
        <f t="shared" si="70"/>
        <v>3</v>
      </c>
      <c r="I2039">
        <f t="shared" si="71"/>
        <v>2022</v>
      </c>
    </row>
    <row r="2040" spans="1:9" x14ac:dyDescent="0.3">
      <c r="A2040" s="1">
        <v>44633</v>
      </c>
      <c r="B2040" t="s">
        <v>64</v>
      </c>
      <c r="G2040">
        <v>22775</v>
      </c>
      <c r="H2040">
        <f t="shared" si="70"/>
        <v>3</v>
      </c>
      <c r="I2040">
        <f t="shared" si="71"/>
        <v>2022</v>
      </c>
    </row>
    <row r="2041" spans="1:9" x14ac:dyDescent="0.3">
      <c r="A2041" s="1">
        <v>44633</v>
      </c>
      <c r="B2041" t="s">
        <v>64</v>
      </c>
      <c r="C2041" t="s">
        <v>40</v>
      </c>
      <c r="D2041" t="s">
        <v>63</v>
      </c>
      <c r="E2041" t="s">
        <v>60</v>
      </c>
      <c r="F2041">
        <v>19500</v>
      </c>
      <c r="H2041">
        <f t="shared" si="70"/>
        <v>3</v>
      </c>
      <c r="I2041">
        <f t="shared" si="71"/>
        <v>2022</v>
      </c>
    </row>
    <row r="2042" spans="1:9" x14ac:dyDescent="0.3">
      <c r="A2042" s="1">
        <v>44633</v>
      </c>
      <c r="B2042" t="s">
        <v>64</v>
      </c>
      <c r="C2042" t="s">
        <v>98</v>
      </c>
      <c r="D2042" t="s">
        <v>25</v>
      </c>
      <c r="E2042" t="s">
        <v>14</v>
      </c>
      <c r="F2042">
        <v>2675</v>
      </c>
      <c r="H2042">
        <f t="shared" si="70"/>
        <v>3</v>
      </c>
      <c r="I2042">
        <f t="shared" si="71"/>
        <v>2022</v>
      </c>
    </row>
    <row r="2043" spans="1:9" x14ac:dyDescent="0.3">
      <c r="A2043" s="1">
        <v>44633</v>
      </c>
      <c r="B2043" t="s">
        <v>64</v>
      </c>
      <c r="C2043" t="s">
        <v>359</v>
      </c>
      <c r="D2043" t="s">
        <v>5</v>
      </c>
      <c r="E2043" t="s">
        <v>160</v>
      </c>
      <c r="F2043">
        <v>600</v>
      </c>
      <c r="H2043">
        <f t="shared" si="70"/>
        <v>3</v>
      </c>
      <c r="I2043">
        <f t="shared" si="71"/>
        <v>2022</v>
      </c>
    </row>
    <row r="2044" spans="1:9" x14ac:dyDescent="0.3">
      <c r="A2044" s="1">
        <v>44633</v>
      </c>
      <c r="B2044" t="s">
        <v>96</v>
      </c>
      <c r="G2044">
        <v>20275</v>
      </c>
      <c r="H2044">
        <f t="shared" si="70"/>
        <v>3</v>
      </c>
      <c r="I2044">
        <f t="shared" si="71"/>
        <v>2022</v>
      </c>
    </row>
    <row r="2045" spans="1:9" x14ac:dyDescent="0.3">
      <c r="A2045" s="1">
        <v>44633</v>
      </c>
      <c r="B2045" t="s">
        <v>96</v>
      </c>
      <c r="C2045" t="s">
        <v>40</v>
      </c>
      <c r="D2045" t="s">
        <v>287</v>
      </c>
      <c r="E2045" t="s">
        <v>224</v>
      </c>
      <c r="F2045">
        <v>11025</v>
      </c>
      <c r="H2045">
        <f t="shared" si="70"/>
        <v>3</v>
      </c>
      <c r="I2045">
        <f t="shared" si="71"/>
        <v>2022</v>
      </c>
    </row>
    <row r="2046" spans="1:9" x14ac:dyDescent="0.3">
      <c r="A2046" s="1">
        <v>44633</v>
      </c>
      <c r="B2046" t="s">
        <v>96</v>
      </c>
      <c r="C2046" t="s">
        <v>94</v>
      </c>
      <c r="D2046" t="s">
        <v>245</v>
      </c>
      <c r="E2046" t="s">
        <v>373</v>
      </c>
      <c r="F2046">
        <v>9250</v>
      </c>
      <c r="H2046">
        <f t="shared" si="70"/>
        <v>3</v>
      </c>
      <c r="I2046">
        <f t="shared" si="71"/>
        <v>2022</v>
      </c>
    </row>
    <row r="2047" spans="1:9" x14ac:dyDescent="0.3">
      <c r="A2047" s="1">
        <v>44633</v>
      </c>
      <c r="B2047" t="s">
        <v>234</v>
      </c>
      <c r="G2047">
        <v>22235</v>
      </c>
      <c r="H2047">
        <f t="shared" si="70"/>
        <v>3</v>
      </c>
      <c r="I2047">
        <f t="shared" si="71"/>
        <v>2022</v>
      </c>
    </row>
    <row r="2048" spans="1:9" x14ac:dyDescent="0.3">
      <c r="A2048" s="1">
        <v>44633</v>
      </c>
      <c r="B2048" t="s">
        <v>234</v>
      </c>
      <c r="C2048" t="s">
        <v>94</v>
      </c>
      <c r="D2048" t="s">
        <v>244</v>
      </c>
      <c r="E2048" t="s">
        <v>264</v>
      </c>
      <c r="F2048">
        <v>5100</v>
      </c>
      <c r="H2048">
        <f t="shared" si="70"/>
        <v>3</v>
      </c>
      <c r="I2048">
        <f t="shared" si="71"/>
        <v>2022</v>
      </c>
    </row>
    <row r="2049" spans="1:9" x14ac:dyDescent="0.3">
      <c r="A2049" s="1">
        <v>44633</v>
      </c>
      <c r="B2049" t="s">
        <v>234</v>
      </c>
      <c r="C2049" t="s">
        <v>94</v>
      </c>
      <c r="D2049" t="s">
        <v>180</v>
      </c>
      <c r="E2049" t="s">
        <v>186</v>
      </c>
      <c r="F2049">
        <v>1900</v>
      </c>
      <c r="H2049">
        <f t="shared" si="70"/>
        <v>3</v>
      </c>
      <c r="I2049">
        <f t="shared" si="71"/>
        <v>2022</v>
      </c>
    </row>
    <row r="2050" spans="1:9" x14ac:dyDescent="0.3">
      <c r="A2050" s="1">
        <v>44633</v>
      </c>
      <c r="B2050" t="s">
        <v>234</v>
      </c>
      <c r="C2050" t="s">
        <v>206</v>
      </c>
      <c r="D2050" t="s">
        <v>25</v>
      </c>
      <c r="E2050" t="s">
        <v>67</v>
      </c>
      <c r="F2050">
        <v>3150</v>
      </c>
      <c r="H2050">
        <f t="shared" si="70"/>
        <v>3</v>
      </c>
      <c r="I2050">
        <f t="shared" si="71"/>
        <v>2022</v>
      </c>
    </row>
    <row r="2051" spans="1:9" x14ac:dyDescent="0.3">
      <c r="A2051" s="1">
        <v>44633</v>
      </c>
      <c r="B2051" t="s">
        <v>234</v>
      </c>
      <c r="C2051" t="s">
        <v>29</v>
      </c>
      <c r="D2051" t="s">
        <v>5</v>
      </c>
      <c r="E2051" t="s">
        <v>67</v>
      </c>
      <c r="F2051">
        <v>630</v>
      </c>
      <c r="H2051">
        <f t="shared" si="70"/>
        <v>3</v>
      </c>
      <c r="I2051">
        <f t="shared" si="71"/>
        <v>2022</v>
      </c>
    </row>
    <row r="2052" spans="1:9" x14ac:dyDescent="0.3">
      <c r="A2052" s="1">
        <v>44633</v>
      </c>
      <c r="B2052" t="s">
        <v>234</v>
      </c>
      <c r="C2052" t="s">
        <v>40</v>
      </c>
      <c r="D2052" t="s">
        <v>9</v>
      </c>
      <c r="E2052" t="s">
        <v>104</v>
      </c>
      <c r="F2052">
        <v>6600</v>
      </c>
      <c r="H2052">
        <f t="shared" si="70"/>
        <v>3</v>
      </c>
      <c r="I2052">
        <f t="shared" si="71"/>
        <v>2022</v>
      </c>
    </row>
    <row r="2053" spans="1:9" x14ac:dyDescent="0.3">
      <c r="A2053" s="1">
        <v>44633</v>
      </c>
      <c r="B2053" t="s">
        <v>234</v>
      </c>
      <c r="C2053" t="s">
        <v>108</v>
      </c>
      <c r="D2053" t="s">
        <v>23</v>
      </c>
      <c r="E2053" t="s">
        <v>119</v>
      </c>
      <c r="F2053">
        <v>900</v>
      </c>
      <c r="H2053">
        <f t="shared" si="70"/>
        <v>3</v>
      </c>
      <c r="I2053">
        <f t="shared" si="71"/>
        <v>2022</v>
      </c>
    </row>
    <row r="2054" spans="1:9" x14ac:dyDescent="0.3">
      <c r="A2054" s="1">
        <v>44633</v>
      </c>
      <c r="B2054" t="s">
        <v>234</v>
      </c>
      <c r="C2054" t="s">
        <v>231</v>
      </c>
      <c r="D2054" t="s">
        <v>5</v>
      </c>
      <c r="E2054" t="s">
        <v>119</v>
      </c>
      <c r="F2054">
        <v>300</v>
      </c>
      <c r="H2054">
        <f t="shared" si="70"/>
        <v>3</v>
      </c>
      <c r="I2054">
        <f t="shared" si="71"/>
        <v>2022</v>
      </c>
    </row>
    <row r="2055" spans="1:9" x14ac:dyDescent="0.3">
      <c r="A2055" s="1">
        <v>44633</v>
      </c>
      <c r="B2055" t="s">
        <v>234</v>
      </c>
      <c r="C2055" t="s">
        <v>204</v>
      </c>
      <c r="D2055" t="s">
        <v>12</v>
      </c>
      <c r="E2055" t="s">
        <v>401</v>
      </c>
      <c r="F2055">
        <v>1215</v>
      </c>
      <c r="H2055">
        <f t="shared" si="70"/>
        <v>3</v>
      </c>
      <c r="I2055">
        <f t="shared" si="71"/>
        <v>2022</v>
      </c>
    </row>
    <row r="2056" spans="1:9" x14ac:dyDescent="0.3">
      <c r="A2056" s="1">
        <v>44633</v>
      </c>
      <c r="B2056" t="s">
        <v>234</v>
      </c>
      <c r="C2056" t="s">
        <v>42</v>
      </c>
      <c r="D2056" t="s">
        <v>23</v>
      </c>
      <c r="E2056" t="s">
        <v>102</v>
      </c>
      <c r="F2056">
        <v>1440</v>
      </c>
      <c r="H2056">
        <f t="shared" si="70"/>
        <v>3</v>
      </c>
      <c r="I2056">
        <f t="shared" si="71"/>
        <v>2022</v>
      </c>
    </row>
    <row r="2057" spans="1:9" x14ac:dyDescent="0.3">
      <c r="A2057" s="1">
        <v>44633</v>
      </c>
      <c r="B2057" t="s">
        <v>234</v>
      </c>
      <c r="C2057" t="s">
        <v>142</v>
      </c>
      <c r="D2057" t="s">
        <v>12</v>
      </c>
      <c r="E2057" t="s">
        <v>156</v>
      </c>
      <c r="F2057">
        <v>1000</v>
      </c>
      <c r="H2057">
        <f t="shared" si="70"/>
        <v>3</v>
      </c>
      <c r="I2057">
        <f t="shared" si="71"/>
        <v>2022</v>
      </c>
    </row>
    <row r="2058" spans="1:9" x14ac:dyDescent="0.3">
      <c r="A2058" s="1">
        <v>44633</v>
      </c>
      <c r="B2058" t="s">
        <v>234</v>
      </c>
      <c r="G2058">
        <v>5795</v>
      </c>
      <c r="H2058">
        <f t="shared" si="70"/>
        <v>3</v>
      </c>
      <c r="I2058">
        <f t="shared" si="71"/>
        <v>2022</v>
      </c>
    </row>
    <row r="2059" spans="1:9" x14ac:dyDescent="0.3">
      <c r="A2059" s="1">
        <v>44633</v>
      </c>
      <c r="B2059" t="s">
        <v>234</v>
      </c>
      <c r="C2059" t="s">
        <v>123</v>
      </c>
      <c r="D2059" t="s">
        <v>93</v>
      </c>
      <c r="E2059" t="s">
        <v>199</v>
      </c>
      <c r="F2059">
        <v>3120</v>
      </c>
      <c r="H2059">
        <f t="shared" si="70"/>
        <v>3</v>
      </c>
      <c r="I2059">
        <f t="shared" si="71"/>
        <v>2022</v>
      </c>
    </row>
    <row r="2060" spans="1:9" x14ac:dyDescent="0.3">
      <c r="A2060" s="1">
        <v>44633</v>
      </c>
      <c r="B2060" t="s">
        <v>234</v>
      </c>
      <c r="C2060" t="s">
        <v>98</v>
      </c>
      <c r="D2060" t="s">
        <v>25</v>
      </c>
      <c r="E2060" t="s">
        <v>14</v>
      </c>
      <c r="F2060">
        <v>2675</v>
      </c>
      <c r="H2060">
        <f t="shared" si="70"/>
        <v>3</v>
      </c>
      <c r="I2060">
        <f t="shared" si="71"/>
        <v>2022</v>
      </c>
    </row>
    <row r="2061" spans="1:9" x14ac:dyDescent="0.3">
      <c r="A2061" s="1">
        <v>44633</v>
      </c>
      <c r="B2061" t="s">
        <v>337</v>
      </c>
      <c r="G2061">
        <v>12360</v>
      </c>
      <c r="H2061">
        <f t="shared" si="70"/>
        <v>3</v>
      </c>
      <c r="I2061">
        <f t="shared" si="71"/>
        <v>2022</v>
      </c>
    </row>
    <row r="2062" spans="1:9" x14ac:dyDescent="0.3">
      <c r="A2062" s="1">
        <v>44633</v>
      </c>
      <c r="B2062" t="s">
        <v>337</v>
      </c>
      <c r="C2062" t="s">
        <v>338</v>
      </c>
      <c r="D2062" t="s">
        <v>17</v>
      </c>
      <c r="E2062" t="s">
        <v>81</v>
      </c>
      <c r="F2062">
        <v>12360</v>
      </c>
      <c r="H2062">
        <f t="shared" si="70"/>
        <v>3</v>
      </c>
      <c r="I2062">
        <f t="shared" si="71"/>
        <v>2022</v>
      </c>
    </row>
    <row r="2063" spans="1:9" x14ac:dyDescent="0.3">
      <c r="A2063" s="1">
        <v>44633</v>
      </c>
      <c r="B2063" t="s">
        <v>36</v>
      </c>
      <c r="G2063">
        <v>16000</v>
      </c>
      <c r="H2063">
        <f t="shared" si="70"/>
        <v>3</v>
      </c>
      <c r="I2063">
        <f t="shared" si="71"/>
        <v>2022</v>
      </c>
    </row>
    <row r="2064" spans="1:9" x14ac:dyDescent="0.3">
      <c r="A2064" s="1">
        <v>44633</v>
      </c>
      <c r="B2064" t="s">
        <v>36</v>
      </c>
      <c r="C2064" t="s">
        <v>40</v>
      </c>
      <c r="D2064" t="s">
        <v>52</v>
      </c>
      <c r="E2064" t="s">
        <v>90</v>
      </c>
      <c r="F2064">
        <v>16000</v>
      </c>
      <c r="H2064">
        <f t="shared" si="70"/>
        <v>3</v>
      </c>
      <c r="I2064">
        <f t="shared" si="71"/>
        <v>2022</v>
      </c>
    </row>
    <row r="2065" spans="1:9" x14ac:dyDescent="0.3">
      <c r="A2065" s="1">
        <v>44633</v>
      </c>
      <c r="B2065" t="s">
        <v>3</v>
      </c>
      <c r="G2065">
        <v>5100</v>
      </c>
      <c r="H2065">
        <f t="shared" si="70"/>
        <v>3</v>
      </c>
      <c r="I2065">
        <f t="shared" si="71"/>
        <v>2022</v>
      </c>
    </row>
    <row r="2066" spans="1:9" x14ac:dyDescent="0.3">
      <c r="A2066" s="1">
        <v>44633</v>
      </c>
      <c r="B2066" t="s">
        <v>3</v>
      </c>
      <c r="C2066" t="s">
        <v>364</v>
      </c>
      <c r="D2066" t="s">
        <v>16</v>
      </c>
      <c r="E2066" t="s">
        <v>13</v>
      </c>
      <c r="F2066">
        <v>4140</v>
      </c>
      <c r="H2066">
        <f t="shared" si="70"/>
        <v>3</v>
      </c>
      <c r="I2066">
        <f t="shared" si="71"/>
        <v>2022</v>
      </c>
    </row>
    <row r="2067" spans="1:9" x14ac:dyDescent="0.3">
      <c r="A2067" s="1">
        <v>44633</v>
      </c>
      <c r="B2067" t="s">
        <v>24</v>
      </c>
      <c r="H2067">
        <f t="shared" ref="H2067:H2130" si="72">MONTH(A2067)</f>
        <v>3</v>
      </c>
      <c r="I2067">
        <f t="shared" ref="I2067:I2130" si="73">YEAR(A2067)</f>
        <v>2022</v>
      </c>
    </row>
    <row r="2068" spans="1:9" x14ac:dyDescent="0.3">
      <c r="A2068" s="1">
        <v>44634</v>
      </c>
      <c r="B2068" t="s">
        <v>48</v>
      </c>
      <c r="G2068">
        <v>9600</v>
      </c>
      <c r="H2068">
        <f t="shared" si="72"/>
        <v>3</v>
      </c>
      <c r="I2068">
        <f t="shared" si="73"/>
        <v>2022</v>
      </c>
    </row>
    <row r="2069" spans="1:9" x14ac:dyDescent="0.3">
      <c r="A2069" s="1">
        <v>44634</v>
      </c>
      <c r="B2069" t="s">
        <v>48</v>
      </c>
      <c r="C2069" t="s">
        <v>40</v>
      </c>
      <c r="D2069" t="s">
        <v>39</v>
      </c>
      <c r="E2069" t="s">
        <v>90</v>
      </c>
      <c r="F2069">
        <v>9600</v>
      </c>
      <c r="H2069">
        <f t="shared" si="72"/>
        <v>3</v>
      </c>
      <c r="I2069">
        <f t="shared" si="73"/>
        <v>2022</v>
      </c>
    </row>
    <row r="2070" spans="1:9" x14ac:dyDescent="0.3">
      <c r="A2070" s="1">
        <v>44634</v>
      </c>
      <c r="B2070" t="s">
        <v>10</v>
      </c>
      <c r="G2070">
        <v>1380</v>
      </c>
      <c r="H2070">
        <f t="shared" si="72"/>
        <v>3</v>
      </c>
      <c r="I2070">
        <f t="shared" si="73"/>
        <v>2022</v>
      </c>
    </row>
    <row r="2071" spans="1:9" x14ac:dyDescent="0.3">
      <c r="A2071" s="1">
        <v>44634</v>
      </c>
      <c r="B2071" t="s">
        <v>10</v>
      </c>
      <c r="C2071" t="s">
        <v>364</v>
      </c>
      <c r="D2071" t="s">
        <v>93</v>
      </c>
      <c r="E2071" t="s">
        <v>13</v>
      </c>
      <c r="F2071">
        <v>1380</v>
      </c>
      <c r="H2071">
        <f t="shared" si="72"/>
        <v>3</v>
      </c>
      <c r="I2071">
        <f t="shared" si="73"/>
        <v>2022</v>
      </c>
    </row>
    <row r="2072" spans="1:9" x14ac:dyDescent="0.3">
      <c r="A2072" s="1">
        <v>44634</v>
      </c>
      <c r="B2072" t="s">
        <v>3</v>
      </c>
      <c r="G2072">
        <v>2180</v>
      </c>
      <c r="H2072">
        <f t="shared" si="72"/>
        <v>3</v>
      </c>
      <c r="I2072">
        <f t="shared" si="73"/>
        <v>2022</v>
      </c>
    </row>
    <row r="2073" spans="1:9" x14ac:dyDescent="0.3">
      <c r="A2073" s="1">
        <v>44634</v>
      </c>
      <c r="B2073" t="s">
        <v>3</v>
      </c>
      <c r="C2073" t="s">
        <v>40</v>
      </c>
      <c r="D2073" t="s">
        <v>23</v>
      </c>
      <c r="E2073" t="s">
        <v>104</v>
      </c>
      <c r="F2073">
        <v>990</v>
      </c>
      <c r="H2073">
        <f t="shared" si="72"/>
        <v>3</v>
      </c>
      <c r="I2073">
        <f t="shared" si="73"/>
        <v>2022</v>
      </c>
    </row>
    <row r="2074" spans="1:9" x14ac:dyDescent="0.3">
      <c r="A2074" s="1">
        <v>44634</v>
      </c>
      <c r="B2074" t="s">
        <v>3</v>
      </c>
      <c r="C2074" t="s">
        <v>359</v>
      </c>
      <c r="D2074" t="s">
        <v>12</v>
      </c>
      <c r="E2074" t="s">
        <v>172</v>
      </c>
      <c r="F2074">
        <v>1190</v>
      </c>
      <c r="H2074">
        <f t="shared" si="72"/>
        <v>3</v>
      </c>
      <c r="I2074">
        <f t="shared" si="73"/>
        <v>2022</v>
      </c>
    </row>
    <row r="2075" spans="1:9" x14ac:dyDescent="0.3">
      <c r="A2075" s="1">
        <v>44635</v>
      </c>
      <c r="B2075" t="s">
        <v>130</v>
      </c>
      <c r="G2075">
        <v>12190</v>
      </c>
      <c r="H2075">
        <f t="shared" si="72"/>
        <v>3</v>
      </c>
      <c r="I2075">
        <f t="shared" si="73"/>
        <v>2022</v>
      </c>
    </row>
    <row r="2076" spans="1:9" x14ac:dyDescent="0.3">
      <c r="A2076" s="1">
        <v>44635</v>
      </c>
      <c r="B2076" t="s">
        <v>130</v>
      </c>
      <c r="C2076" t="s">
        <v>123</v>
      </c>
      <c r="D2076" t="s">
        <v>5</v>
      </c>
      <c r="E2076" t="s">
        <v>178</v>
      </c>
      <c r="F2076">
        <v>800</v>
      </c>
      <c r="H2076">
        <f t="shared" si="72"/>
        <v>3</v>
      </c>
      <c r="I2076">
        <f t="shared" si="73"/>
        <v>2022</v>
      </c>
    </row>
    <row r="2077" spans="1:9" x14ac:dyDescent="0.3">
      <c r="A2077" s="1">
        <v>44635</v>
      </c>
      <c r="B2077" t="s">
        <v>130</v>
      </c>
      <c r="C2077" t="s">
        <v>40</v>
      </c>
      <c r="D2077" t="s">
        <v>37</v>
      </c>
      <c r="E2077" t="s">
        <v>104</v>
      </c>
      <c r="F2077">
        <v>3300</v>
      </c>
      <c r="H2077">
        <f t="shared" si="72"/>
        <v>3</v>
      </c>
      <c r="I2077">
        <f t="shared" si="73"/>
        <v>2022</v>
      </c>
    </row>
    <row r="2078" spans="1:9" x14ac:dyDescent="0.3">
      <c r="A2078" s="1">
        <v>44635</v>
      </c>
      <c r="B2078" t="s">
        <v>130</v>
      </c>
      <c r="C2078" t="s">
        <v>38</v>
      </c>
      <c r="D2078" t="s">
        <v>23</v>
      </c>
      <c r="E2078" t="s">
        <v>79</v>
      </c>
      <c r="F2078">
        <v>1260</v>
      </c>
      <c r="H2078">
        <f t="shared" si="72"/>
        <v>3</v>
      </c>
      <c r="I2078">
        <f t="shared" si="73"/>
        <v>2022</v>
      </c>
    </row>
    <row r="2079" spans="1:9" x14ac:dyDescent="0.3">
      <c r="A2079" s="1">
        <v>44635</v>
      </c>
      <c r="B2079" t="s">
        <v>130</v>
      </c>
      <c r="C2079" t="s">
        <v>11</v>
      </c>
      <c r="D2079" t="s">
        <v>23</v>
      </c>
      <c r="E2079" t="s">
        <v>79</v>
      </c>
      <c r="F2079">
        <v>1260</v>
      </c>
      <c r="H2079">
        <f t="shared" si="72"/>
        <v>3</v>
      </c>
      <c r="I2079">
        <f t="shared" si="73"/>
        <v>2022</v>
      </c>
    </row>
    <row r="2080" spans="1:9" x14ac:dyDescent="0.3">
      <c r="A2080" s="1">
        <v>44635</v>
      </c>
      <c r="B2080" t="s">
        <v>130</v>
      </c>
      <c r="C2080" t="s">
        <v>98</v>
      </c>
      <c r="D2080" t="s">
        <v>23</v>
      </c>
      <c r="E2080" t="s">
        <v>402</v>
      </c>
      <c r="F2080">
        <v>1630</v>
      </c>
      <c r="H2080">
        <f t="shared" si="72"/>
        <v>3</v>
      </c>
      <c r="I2080">
        <f t="shared" si="73"/>
        <v>2022</v>
      </c>
    </row>
    <row r="2081" spans="1:9" x14ac:dyDescent="0.3">
      <c r="A2081" s="1">
        <v>44635</v>
      </c>
      <c r="B2081" t="s">
        <v>130</v>
      </c>
      <c r="C2081" t="s">
        <v>29</v>
      </c>
      <c r="D2081" t="s">
        <v>12</v>
      </c>
      <c r="E2081" t="s">
        <v>115</v>
      </c>
      <c r="F2081">
        <v>1300</v>
      </c>
      <c r="H2081">
        <f t="shared" si="72"/>
        <v>3</v>
      </c>
      <c r="I2081">
        <f t="shared" si="73"/>
        <v>2022</v>
      </c>
    </row>
    <row r="2082" spans="1:9" x14ac:dyDescent="0.3">
      <c r="A2082" s="1">
        <v>44635</v>
      </c>
      <c r="B2082" t="s">
        <v>130</v>
      </c>
      <c r="C2082" t="s">
        <v>133</v>
      </c>
      <c r="D2082" t="s">
        <v>23</v>
      </c>
      <c r="E2082" t="s">
        <v>99</v>
      </c>
      <c r="F2082">
        <v>1620</v>
      </c>
      <c r="H2082">
        <f t="shared" si="72"/>
        <v>3</v>
      </c>
      <c r="I2082">
        <f t="shared" si="73"/>
        <v>2022</v>
      </c>
    </row>
    <row r="2083" spans="1:9" x14ac:dyDescent="0.3">
      <c r="A2083" s="1">
        <v>44635</v>
      </c>
      <c r="B2083" t="s">
        <v>130</v>
      </c>
      <c r="C2083" t="s">
        <v>101</v>
      </c>
      <c r="D2083" t="s">
        <v>12</v>
      </c>
      <c r="E2083" t="s">
        <v>7</v>
      </c>
      <c r="F2083">
        <v>1020</v>
      </c>
      <c r="H2083">
        <f t="shared" si="72"/>
        <v>3</v>
      </c>
      <c r="I2083">
        <f t="shared" si="73"/>
        <v>2022</v>
      </c>
    </row>
    <row r="2084" spans="1:9" x14ac:dyDescent="0.3">
      <c r="A2084" s="1">
        <v>44635</v>
      </c>
      <c r="B2084" t="s">
        <v>130</v>
      </c>
      <c r="G2084">
        <v>2670</v>
      </c>
      <c r="H2084">
        <f t="shared" si="72"/>
        <v>3</v>
      </c>
      <c r="I2084">
        <f t="shared" si="73"/>
        <v>2022</v>
      </c>
    </row>
    <row r="2085" spans="1:9" x14ac:dyDescent="0.3">
      <c r="A2085" s="1">
        <v>44635</v>
      </c>
      <c r="B2085" t="s">
        <v>130</v>
      </c>
      <c r="C2085" t="s">
        <v>98</v>
      </c>
      <c r="D2085" t="s">
        <v>93</v>
      </c>
      <c r="E2085" t="s">
        <v>164</v>
      </c>
      <c r="F2085">
        <v>2180</v>
      </c>
      <c r="H2085">
        <f t="shared" si="72"/>
        <v>3</v>
      </c>
      <c r="I2085">
        <f t="shared" si="73"/>
        <v>2022</v>
      </c>
    </row>
    <row r="2086" spans="1:9" x14ac:dyDescent="0.3">
      <c r="A2086" s="1">
        <v>44635</v>
      </c>
      <c r="B2086" t="s">
        <v>130</v>
      </c>
      <c r="C2086" t="s">
        <v>101</v>
      </c>
      <c r="D2086" t="s">
        <v>5</v>
      </c>
      <c r="E2086" t="s">
        <v>202</v>
      </c>
      <c r="F2086">
        <v>490</v>
      </c>
      <c r="H2086">
        <f t="shared" si="72"/>
        <v>3</v>
      </c>
      <c r="I2086">
        <f t="shared" si="73"/>
        <v>2022</v>
      </c>
    </row>
    <row r="2087" spans="1:9" x14ac:dyDescent="0.3">
      <c r="A2087" s="1">
        <v>44635</v>
      </c>
      <c r="B2087" t="s">
        <v>130</v>
      </c>
      <c r="G2087">
        <v>1290</v>
      </c>
      <c r="H2087">
        <f t="shared" si="72"/>
        <v>3</v>
      </c>
      <c r="I2087">
        <f t="shared" si="73"/>
        <v>2022</v>
      </c>
    </row>
    <row r="2088" spans="1:9" x14ac:dyDescent="0.3">
      <c r="A2088" s="1">
        <v>44635</v>
      </c>
      <c r="B2088" t="s">
        <v>130</v>
      </c>
      <c r="C2088" t="s">
        <v>40</v>
      </c>
      <c r="D2088" t="s">
        <v>5</v>
      </c>
      <c r="E2088" t="s">
        <v>118</v>
      </c>
      <c r="F2088">
        <v>340</v>
      </c>
      <c r="H2088">
        <f t="shared" si="72"/>
        <v>3</v>
      </c>
      <c r="I2088">
        <f t="shared" si="73"/>
        <v>2022</v>
      </c>
    </row>
    <row r="2089" spans="1:9" x14ac:dyDescent="0.3">
      <c r="A2089" s="1">
        <v>44635</v>
      </c>
      <c r="B2089" t="s">
        <v>130</v>
      </c>
      <c r="C2089" t="s">
        <v>94</v>
      </c>
      <c r="D2089" t="s">
        <v>137</v>
      </c>
      <c r="E2089" t="s">
        <v>132</v>
      </c>
      <c r="F2089">
        <v>400</v>
      </c>
      <c r="H2089">
        <f t="shared" si="72"/>
        <v>3</v>
      </c>
      <c r="I2089">
        <f t="shared" si="73"/>
        <v>2022</v>
      </c>
    </row>
    <row r="2090" spans="1:9" x14ac:dyDescent="0.3">
      <c r="A2090" s="1">
        <v>44635</v>
      </c>
      <c r="B2090" t="s">
        <v>130</v>
      </c>
      <c r="C2090" t="s">
        <v>98</v>
      </c>
      <c r="D2090" t="s">
        <v>5</v>
      </c>
      <c r="E2090" t="s">
        <v>69</v>
      </c>
      <c r="F2090">
        <v>550</v>
      </c>
      <c r="H2090">
        <f t="shared" si="72"/>
        <v>3</v>
      </c>
      <c r="I2090">
        <f t="shared" si="73"/>
        <v>2022</v>
      </c>
    </row>
    <row r="2091" spans="1:9" x14ac:dyDescent="0.3">
      <c r="A2091" s="1">
        <v>44635</v>
      </c>
      <c r="B2091" t="s">
        <v>130</v>
      </c>
      <c r="G2091">
        <v>3150</v>
      </c>
      <c r="H2091">
        <f t="shared" si="72"/>
        <v>3</v>
      </c>
      <c r="I2091">
        <f t="shared" si="73"/>
        <v>2022</v>
      </c>
    </row>
    <row r="2092" spans="1:9" x14ac:dyDescent="0.3">
      <c r="A2092" s="1">
        <v>44635</v>
      </c>
      <c r="B2092" t="s">
        <v>130</v>
      </c>
      <c r="C2092" t="s">
        <v>148</v>
      </c>
      <c r="D2092" t="s">
        <v>61</v>
      </c>
      <c r="E2092" t="s">
        <v>223</v>
      </c>
      <c r="F2092">
        <v>3150</v>
      </c>
      <c r="H2092">
        <f t="shared" si="72"/>
        <v>3</v>
      </c>
      <c r="I2092">
        <f t="shared" si="73"/>
        <v>2022</v>
      </c>
    </row>
    <row r="2093" spans="1:9" x14ac:dyDescent="0.3">
      <c r="A2093" s="1">
        <v>44635</v>
      </c>
      <c r="B2093" t="s">
        <v>130</v>
      </c>
      <c r="C2093" t="s">
        <v>148</v>
      </c>
      <c r="D2093" t="s">
        <v>12</v>
      </c>
      <c r="E2093" t="s">
        <v>182</v>
      </c>
      <c r="H2093">
        <f t="shared" si="72"/>
        <v>3</v>
      </c>
      <c r="I2093">
        <f t="shared" si="73"/>
        <v>2022</v>
      </c>
    </row>
    <row r="2094" spans="1:9" x14ac:dyDescent="0.3">
      <c r="A2094" s="1">
        <v>44635</v>
      </c>
      <c r="B2094" t="s">
        <v>130</v>
      </c>
      <c r="G2094">
        <v>18222</v>
      </c>
      <c r="H2094">
        <f t="shared" si="72"/>
        <v>3</v>
      </c>
      <c r="I2094">
        <f t="shared" si="73"/>
        <v>2022</v>
      </c>
    </row>
    <row r="2095" spans="1:9" x14ac:dyDescent="0.3">
      <c r="A2095" s="1">
        <v>44635</v>
      </c>
      <c r="B2095" t="s">
        <v>130</v>
      </c>
      <c r="C2095" t="s">
        <v>40</v>
      </c>
      <c r="D2095" t="s">
        <v>287</v>
      </c>
      <c r="E2095" t="s">
        <v>104</v>
      </c>
      <c r="F2095">
        <v>11550</v>
      </c>
      <c r="H2095">
        <f t="shared" si="72"/>
        <v>3</v>
      </c>
      <c r="I2095">
        <f t="shared" si="73"/>
        <v>2022</v>
      </c>
    </row>
    <row r="2096" spans="1:9" x14ac:dyDescent="0.3">
      <c r="A2096" s="1">
        <v>44635</v>
      </c>
      <c r="B2096" t="s">
        <v>130</v>
      </c>
      <c r="C2096" t="s">
        <v>98</v>
      </c>
      <c r="D2096" t="s">
        <v>18</v>
      </c>
      <c r="E2096" t="s">
        <v>403</v>
      </c>
      <c r="F2096">
        <v>3282</v>
      </c>
      <c r="H2096">
        <f t="shared" si="72"/>
        <v>3</v>
      </c>
      <c r="I2096">
        <f t="shared" si="73"/>
        <v>2022</v>
      </c>
    </row>
    <row r="2097" spans="1:9" x14ac:dyDescent="0.3">
      <c r="A2097" s="1">
        <v>44635</v>
      </c>
      <c r="B2097" t="s">
        <v>130</v>
      </c>
      <c r="C2097" t="s">
        <v>231</v>
      </c>
      <c r="D2097" t="s">
        <v>5</v>
      </c>
      <c r="E2097" t="s">
        <v>69</v>
      </c>
      <c r="F2097">
        <v>550</v>
      </c>
      <c r="H2097">
        <f t="shared" si="72"/>
        <v>3</v>
      </c>
      <c r="I2097">
        <f t="shared" si="73"/>
        <v>2022</v>
      </c>
    </row>
    <row r="2098" spans="1:9" x14ac:dyDescent="0.3">
      <c r="A2098" s="1">
        <v>44635</v>
      </c>
      <c r="B2098" t="s">
        <v>130</v>
      </c>
      <c r="C2098" t="s">
        <v>147</v>
      </c>
      <c r="D2098" t="s">
        <v>5</v>
      </c>
      <c r="E2098" t="s">
        <v>161</v>
      </c>
      <c r="F2098">
        <v>660</v>
      </c>
      <c r="H2098">
        <f t="shared" si="72"/>
        <v>3</v>
      </c>
      <c r="I2098">
        <f t="shared" si="73"/>
        <v>2022</v>
      </c>
    </row>
    <row r="2099" spans="1:9" x14ac:dyDescent="0.3">
      <c r="A2099" s="1">
        <v>44635</v>
      </c>
      <c r="B2099" t="s">
        <v>130</v>
      </c>
      <c r="C2099" t="s">
        <v>239</v>
      </c>
      <c r="D2099" t="s">
        <v>5</v>
      </c>
      <c r="E2099" t="s">
        <v>404</v>
      </c>
      <c r="F2099">
        <v>870</v>
      </c>
      <c r="H2099">
        <f t="shared" si="72"/>
        <v>3</v>
      </c>
      <c r="I2099">
        <f t="shared" si="73"/>
        <v>2022</v>
      </c>
    </row>
    <row r="2100" spans="1:9" x14ac:dyDescent="0.3">
      <c r="A2100" s="1">
        <v>44635</v>
      </c>
      <c r="B2100" t="s">
        <v>130</v>
      </c>
      <c r="C2100" t="s">
        <v>123</v>
      </c>
      <c r="D2100" t="s">
        <v>5</v>
      </c>
      <c r="E2100" t="s">
        <v>178</v>
      </c>
      <c r="F2100">
        <v>800</v>
      </c>
      <c r="H2100">
        <f t="shared" si="72"/>
        <v>3</v>
      </c>
      <c r="I2100">
        <f t="shared" si="73"/>
        <v>2022</v>
      </c>
    </row>
    <row r="2101" spans="1:9" x14ac:dyDescent="0.3">
      <c r="A2101" s="1">
        <v>44635</v>
      </c>
      <c r="B2101" t="s">
        <v>130</v>
      </c>
      <c r="C2101" t="s">
        <v>101</v>
      </c>
      <c r="D2101" t="s">
        <v>5</v>
      </c>
      <c r="E2101" t="s">
        <v>7</v>
      </c>
      <c r="F2101">
        <v>510</v>
      </c>
      <c r="H2101">
        <f t="shared" si="72"/>
        <v>3</v>
      </c>
      <c r="I2101">
        <f t="shared" si="73"/>
        <v>2022</v>
      </c>
    </row>
    <row r="2102" spans="1:9" x14ac:dyDescent="0.3">
      <c r="A2102" s="1">
        <v>44635</v>
      </c>
      <c r="B2102" t="s">
        <v>130</v>
      </c>
      <c r="G2102">
        <v>10378</v>
      </c>
      <c r="H2102">
        <f t="shared" si="72"/>
        <v>3</v>
      </c>
      <c r="I2102">
        <f t="shared" si="73"/>
        <v>2022</v>
      </c>
    </row>
    <row r="2103" spans="1:9" x14ac:dyDescent="0.3">
      <c r="A2103" s="1">
        <v>44635</v>
      </c>
      <c r="B2103" t="s">
        <v>130</v>
      </c>
      <c r="C2103" t="s">
        <v>134</v>
      </c>
      <c r="D2103" t="s">
        <v>12</v>
      </c>
      <c r="E2103" t="s">
        <v>69</v>
      </c>
      <c r="F2103">
        <v>1100</v>
      </c>
      <c r="H2103">
        <f t="shared" si="72"/>
        <v>3</v>
      </c>
      <c r="I2103">
        <f t="shared" si="73"/>
        <v>2022</v>
      </c>
    </row>
    <row r="2104" spans="1:9" x14ac:dyDescent="0.3">
      <c r="A2104" s="1">
        <v>44635</v>
      </c>
      <c r="B2104" t="s">
        <v>130</v>
      </c>
      <c r="C2104" t="s">
        <v>108</v>
      </c>
      <c r="D2104" t="s">
        <v>12</v>
      </c>
      <c r="E2104" t="s">
        <v>69</v>
      </c>
      <c r="F2104">
        <v>1100</v>
      </c>
      <c r="H2104">
        <f t="shared" si="72"/>
        <v>3</v>
      </c>
      <c r="I2104">
        <f t="shared" si="73"/>
        <v>2022</v>
      </c>
    </row>
    <row r="2105" spans="1:9" x14ac:dyDescent="0.3">
      <c r="A2105" s="1">
        <v>44635</v>
      </c>
      <c r="B2105" t="s">
        <v>130</v>
      </c>
      <c r="C2105" t="s">
        <v>125</v>
      </c>
      <c r="D2105" t="s">
        <v>12</v>
      </c>
      <c r="E2105" t="s">
        <v>70</v>
      </c>
      <c r="F2105">
        <v>1420</v>
      </c>
      <c r="H2105">
        <f t="shared" si="72"/>
        <v>3</v>
      </c>
      <c r="I2105">
        <f t="shared" si="73"/>
        <v>2022</v>
      </c>
    </row>
    <row r="2106" spans="1:9" x14ac:dyDescent="0.3">
      <c r="A2106" s="1">
        <v>44635</v>
      </c>
      <c r="B2106" t="s">
        <v>130</v>
      </c>
      <c r="C2106" t="s">
        <v>219</v>
      </c>
      <c r="D2106" t="s">
        <v>5</v>
      </c>
      <c r="E2106" t="s">
        <v>404</v>
      </c>
      <c r="F2106">
        <v>870</v>
      </c>
      <c r="H2106">
        <f t="shared" si="72"/>
        <v>3</v>
      </c>
      <c r="I2106">
        <f t="shared" si="73"/>
        <v>2022</v>
      </c>
    </row>
    <row r="2107" spans="1:9" x14ac:dyDescent="0.3">
      <c r="A2107" s="1">
        <v>44635</v>
      </c>
      <c r="B2107" t="s">
        <v>130</v>
      </c>
      <c r="C2107" t="s">
        <v>142</v>
      </c>
      <c r="D2107" t="s">
        <v>5</v>
      </c>
      <c r="E2107" t="s">
        <v>7</v>
      </c>
      <c r="F2107">
        <v>510</v>
      </c>
      <c r="H2107">
        <f t="shared" si="72"/>
        <v>3</v>
      </c>
      <c r="I2107">
        <f t="shared" si="73"/>
        <v>2022</v>
      </c>
    </row>
    <row r="2108" spans="1:9" x14ac:dyDescent="0.3">
      <c r="A2108" s="1">
        <v>44635</v>
      </c>
      <c r="B2108" t="s">
        <v>130</v>
      </c>
      <c r="C2108" t="s">
        <v>364</v>
      </c>
      <c r="D2108" t="s">
        <v>74</v>
      </c>
      <c r="E2108" t="s">
        <v>100</v>
      </c>
      <c r="F2108">
        <v>5600</v>
      </c>
      <c r="H2108">
        <f t="shared" si="72"/>
        <v>3</v>
      </c>
      <c r="I2108">
        <f t="shared" si="73"/>
        <v>2022</v>
      </c>
    </row>
    <row r="2109" spans="1:9" x14ac:dyDescent="0.3">
      <c r="A2109" s="1">
        <v>44635</v>
      </c>
      <c r="B2109" t="s">
        <v>24</v>
      </c>
      <c r="G2109">
        <v>-168</v>
      </c>
      <c r="H2109">
        <f t="shared" si="72"/>
        <v>3</v>
      </c>
      <c r="I2109">
        <f t="shared" si="73"/>
        <v>2022</v>
      </c>
    </row>
    <row r="2110" spans="1:9" x14ac:dyDescent="0.3">
      <c r="A2110" s="1">
        <v>44635</v>
      </c>
      <c r="B2110" t="s">
        <v>24</v>
      </c>
      <c r="G2110">
        <v>-54</v>
      </c>
      <c r="H2110">
        <f t="shared" si="72"/>
        <v>3</v>
      </c>
      <c r="I2110">
        <f t="shared" si="73"/>
        <v>2022</v>
      </c>
    </row>
    <row r="2111" spans="1:9" x14ac:dyDescent="0.3">
      <c r="A2111" s="1">
        <v>44635</v>
      </c>
      <c r="B2111" t="s">
        <v>130</v>
      </c>
      <c r="G2111">
        <v>9550</v>
      </c>
      <c r="H2111">
        <f t="shared" si="72"/>
        <v>3</v>
      </c>
      <c r="I2111">
        <f t="shared" si="73"/>
        <v>2022</v>
      </c>
    </row>
    <row r="2112" spans="1:9" x14ac:dyDescent="0.3">
      <c r="A2112" s="1">
        <v>44635</v>
      </c>
      <c r="B2112" t="s">
        <v>130</v>
      </c>
      <c r="C2112" t="s">
        <v>94</v>
      </c>
      <c r="D2112" t="s">
        <v>138</v>
      </c>
      <c r="E2112" t="s">
        <v>373</v>
      </c>
      <c r="F2112">
        <v>740</v>
      </c>
      <c r="H2112">
        <f t="shared" si="72"/>
        <v>3</v>
      </c>
      <c r="I2112">
        <f t="shared" si="73"/>
        <v>2022</v>
      </c>
    </row>
    <row r="2113" spans="1:9" x14ac:dyDescent="0.3">
      <c r="A2113" s="1">
        <v>44635</v>
      </c>
      <c r="B2113" t="s">
        <v>130</v>
      </c>
      <c r="C2113" t="s">
        <v>98</v>
      </c>
      <c r="D2113" t="s">
        <v>18</v>
      </c>
      <c r="E2113" t="s">
        <v>99</v>
      </c>
      <c r="F2113">
        <v>3240</v>
      </c>
      <c r="H2113">
        <f t="shared" si="72"/>
        <v>3</v>
      </c>
      <c r="I2113">
        <f t="shared" si="73"/>
        <v>2022</v>
      </c>
    </row>
    <row r="2114" spans="1:9" x14ac:dyDescent="0.3">
      <c r="A2114" s="1">
        <v>44635</v>
      </c>
      <c r="B2114" t="s">
        <v>130</v>
      </c>
      <c r="C2114" t="s">
        <v>134</v>
      </c>
      <c r="D2114" t="s">
        <v>12</v>
      </c>
      <c r="E2114" t="s">
        <v>69</v>
      </c>
      <c r="F2114">
        <v>1100</v>
      </c>
      <c r="H2114">
        <f t="shared" si="72"/>
        <v>3</v>
      </c>
      <c r="I2114">
        <f t="shared" si="73"/>
        <v>2022</v>
      </c>
    </row>
    <row r="2115" spans="1:9" x14ac:dyDescent="0.3">
      <c r="A2115" s="1">
        <v>44635</v>
      </c>
      <c r="B2115" t="s">
        <v>130</v>
      </c>
      <c r="C2115" t="s">
        <v>204</v>
      </c>
      <c r="D2115" t="s">
        <v>5</v>
      </c>
      <c r="E2115" t="s">
        <v>69</v>
      </c>
      <c r="F2115">
        <v>550</v>
      </c>
      <c r="H2115">
        <f t="shared" si="72"/>
        <v>3</v>
      </c>
      <c r="I2115">
        <f t="shared" si="73"/>
        <v>2022</v>
      </c>
    </row>
    <row r="2116" spans="1:9" x14ac:dyDescent="0.3">
      <c r="A2116" s="1">
        <v>44635</v>
      </c>
      <c r="B2116" t="s">
        <v>130</v>
      </c>
      <c r="C2116" t="s">
        <v>133</v>
      </c>
      <c r="D2116" t="s">
        <v>5</v>
      </c>
      <c r="E2116" t="s">
        <v>69</v>
      </c>
      <c r="F2116">
        <v>550</v>
      </c>
      <c r="H2116">
        <f t="shared" si="72"/>
        <v>3</v>
      </c>
      <c r="I2116">
        <f t="shared" si="73"/>
        <v>2022</v>
      </c>
    </row>
    <row r="2117" spans="1:9" x14ac:dyDescent="0.3">
      <c r="A2117" s="1">
        <v>44635</v>
      </c>
      <c r="B2117" t="s">
        <v>130</v>
      </c>
      <c r="C2117" t="s">
        <v>147</v>
      </c>
      <c r="D2117" t="s">
        <v>5</v>
      </c>
      <c r="E2117" t="s">
        <v>115</v>
      </c>
      <c r="F2117">
        <v>650</v>
      </c>
      <c r="H2117">
        <f t="shared" si="72"/>
        <v>3</v>
      </c>
      <c r="I2117">
        <f t="shared" si="73"/>
        <v>2022</v>
      </c>
    </row>
    <row r="2118" spans="1:9" x14ac:dyDescent="0.3">
      <c r="A2118" s="1">
        <v>44635</v>
      </c>
      <c r="B2118" t="s">
        <v>130</v>
      </c>
      <c r="C2118" t="s">
        <v>364</v>
      </c>
      <c r="D2118" t="s">
        <v>59</v>
      </c>
      <c r="E2118" t="s">
        <v>100</v>
      </c>
      <c r="F2118">
        <v>2800</v>
      </c>
      <c r="H2118">
        <f t="shared" si="72"/>
        <v>3</v>
      </c>
      <c r="I2118">
        <f t="shared" si="73"/>
        <v>2022</v>
      </c>
    </row>
    <row r="2119" spans="1:9" x14ac:dyDescent="0.3">
      <c r="A2119" s="1">
        <v>44635</v>
      </c>
      <c r="B2119" t="s">
        <v>24</v>
      </c>
      <c r="G2119">
        <v>-80</v>
      </c>
      <c r="H2119">
        <f t="shared" si="72"/>
        <v>3</v>
      </c>
      <c r="I2119">
        <f t="shared" si="73"/>
        <v>2022</v>
      </c>
    </row>
    <row r="2120" spans="1:9" x14ac:dyDescent="0.3">
      <c r="A2120" s="1">
        <v>44635</v>
      </c>
      <c r="B2120" t="s">
        <v>130</v>
      </c>
      <c r="G2120">
        <v>2450</v>
      </c>
      <c r="H2120">
        <f t="shared" si="72"/>
        <v>3</v>
      </c>
      <c r="I2120">
        <f t="shared" si="73"/>
        <v>2022</v>
      </c>
    </row>
    <row r="2121" spans="1:9" x14ac:dyDescent="0.3">
      <c r="A2121" s="1">
        <v>44635</v>
      </c>
      <c r="B2121" t="s">
        <v>130</v>
      </c>
      <c r="C2121" t="s">
        <v>40</v>
      </c>
      <c r="D2121" t="s">
        <v>5</v>
      </c>
      <c r="E2121" t="s">
        <v>118</v>
      </c>
      <c r="F2121">
        <v>340</v>
      </c>
      <c r="H2121">
        <f t="shared" si="72"/>
        <v>3</v>
      </c>
      <c r="I2121">
        <f t="shared" si="73"/>
        <v>2022</v>
      </c>
    </row>
    <row r="2122" spans="1:9" x14ac:dyDescent="0.3">
      <c r="A2122" s="1">
        <v>44635</v>
      </c>
      <c r="B2122" t="s">
        <v>130</v>
      </c>
      <c r="C2122" t="s">
        <v>94</v>
      </c>
      <c r="D2122" t="s">
        <v>131</v>
      </c>
      <c r="E2122" t="s">
        <v>132</v>
      </c>
      <c r="F2122">
        <v>200</v>
      </c>
      <c r="H2122">
        <f t="shared" si="72"/>
        <v>3</v>
      </c>
      <c r="I2122">
        <f t="shared" si="73"/>
        <v>2022</v>
      </c>
    </row>
    <row r="2123" spans="1:9" x14ac:dyDescent="0.3">
      <c r="A2123" s="1">
        <v>44635</v>
      </c>
      <c r="B2123" t="s">
        <v>130</v>
      </c>
      <c r="C2123" t="s">
        <v>165</v>
      </c>
      <c r="D2123" t="s">
        <v>5</v>
      </c>
      <c r="E2123" t="s">
        <v>214</v>
      </c>
      <c r="F2123">
        <v>215</v>
      </c>
      <c r="H2123">
        <f t="shared" si="72"/>
        <v>3</v>
      </c>
      <c r="I2123">
        <f t="shared" si="73"/>
        <v>2022</v>
      </c>
    </row>
    <row r="2124" spans="1:9" x14ac:dyDescent="0.3">
      <c r="A2124" s="1">
        <v>44635</v>
      </c>
      <c r="B2124" t="s">
        <v>130</v>
      </c>
      <c r="C2124" t="s">
        <v>94</v>
      </c>
      <c r="D2124" t="s">
        <v>131</v>
      </c>
      <c r="E2124" t="s">
        <v>186</v>
      </c>
      <c r="F2124">
        <v>190</v>
      </c>
      <c r="H2124">
        <f t="shared" si="72"/>
        <v>3</v>
      </c>
      <c r="I2124">
        <f t="shared" si="73"/>
        <v>2022</v>
      </c>
    </row>
    <row r="2125" spans="1:9" x14ac:dyDescent="0.3">
      <c r="A2125" s="1">
        <v>44635</v>
      </c>
      <c r="B2125" t="s">
        <v>130</v>
      </c>
      <c r="C2125" t="s">
        <v>94</v>
      </c>
      <c r="D2125" t="s">
        <v>138</v>
      </c>
      <c r="E2125" t="s">
        <v>186</v>
      </c>
      <c r="F2125">
        <v>760</v>
      </c>
      <c r="H2125">
        <f t="shared" si="72"/>
        <v>3</v>
      </c>
      <c r="I2125">
        <f t="shared" si="73"/>
        <v>2022</v>
      </c>
    </row>
    <row r="2126" spans="1:9" x14ac:dyDescent="0.3">
      <c r="A2126" s="1">
        <v>44635</v>
      </c>
      <c r="B2126" t="s">
        <v>130</v>
      </c>
      <c r="C2126" t="s">
        <v>94</v>
      </c>
      <c r="D2126" t="s">
        <v>131</v>
      </c>
      <c r="E2126" t="s">
        <v>132</v>
      </c>
      <c r="F2126">
        <v>200</v>
      </c>
      <c r="H2126">
        <f t="shared" si="72"/>
        <v>3</v>
      </c>
      <c r="I2126">
        <f t="shared" si="73"/>
        <v>2022</v>
      </c>
    </row>
    <row r="2127" spans="1:9" x14ac:dyDescent="0.3">
      <c r="A2127" s="1">
        <v>44635</v>
      </c>
      <c r="B2127" t="s">
        <v>130</v>
      </c>
      <c r="C2127" t="s">
        <v>108</v>
      </c>
      <c r="D2127" t="s">
        <v>5</v>
      </c>
      <c r="E2127" t="s">
        <v>164</v>
      </c>
      <c r="F2127">
        <v>545</v>
      </c>
      <c r="H2127">
        <f t="shared" si="72"/>
        <v>3</v>
      </c>
      <c r="I2127">
        <f t="shared" si="73"/>
        <v>2022</v>
      </c>
    </row>
    <row r="2128" spans="1:9" x14ac:dyDescent="0.3">
      <c r="A2128" s="1">
        <v>44636</v>
      </c>
      <c r="B2128" t="s">
        <v>28</v>
      </c>
      <c r="G2128">
        <v>27995</v>
      </c>
      <c r="H2128">
        <f t="shared" si="72"/>
        <v>3</v>
      </c>
      <c r="I2128">
        <f t="shared" si="73"/>
        <v>2022</v>
      </c>
    </row>
    <row r="2129" spans="1:9" x14ac:dyDescent="0.3">
      <c r="A2129" s="1">
        <v>44636</v>
      </c>
      <c r="B2129" t="s">
        <v>28</v>
      </c>
      <c r="C2129" t="s">
        <v>94</v>
      </c>
      <c r="D2129" t="s">
        <v>405</v>
      </c>
      <c r="E2129" t="s">
        <v>373</v>
      </c>
      <c r="F2129">
        <v>8325</v>
      </c>
      <c r="H2129">
        <f t="shared" si="72"/>
        <v>3</v>
      </c>
      <c r="I2129">
        <f t="shared" si="73"/>
        <v>2022</v>
      </c>
    </row>
    <row r="2130" spans="1:9" x14ac:dyDescent="0.3">
      <c r="A2130" s="1">
        <v>44636</v>
      </c>
      <c r="B2130" t="s">
        <v>28</v>
      </c>
      <c r="C2130" t="s">
        <v>40</v>
      </c>
      <c r="D2130" t="s">
        <v>9</v>
      </c>
      <c r="E2130" t="s">
        <v>60</v>
      </c>
      <c r="F2130">
        <v>6500</v>
      </c>
      <c r="H2130">
        <f t="shared" si="72"/>
        <v>3</v>
      </c>
      <c r="I2130">
        <f t="shared" si="73"/>
        <v>2022</v>
      </c>
    </row>
    <row r="2131" spans="1:9" x14ac:dyDescent="0.3">
      <c r="A2131" s="1">
        <v>44636</v>
      </c>
      <c r="B2131" t="s">
        <v>28</v>
      </c>
      <c r="C2131" t="s">
        <v>142</v>
      </c>
      <c r="D2131" t="s">
        <v>25</v>
      </c>
      <c r="E2131" t="s">
        <v>156</v>
      </c>
      <c r="F2131">
        <v>2500</v>
      </c>
      <c r="H2131">
        <f t="shared" ref="H2131:H2194" si="74">MONTH(A2131)</f>
        <v>3</v>
      </c>
      <c r="I2131">
        <f t="shared" ref="I2131:I2194" si="75">YEAR(A2131)</f>
        <v>2022</v>
      </c>
    </row>
    <row r="2132" spans="1:9" x14ac:dyDescent="0.3">
      <c r="A2132" s="1">
        <v>44636</v>
      </c>
      <c r="B2132" t="s">
        <v>28</v>
      </c>
      <c r="C2132" t="s">
        <v>125</v>
      </c>
      <c r="D2132" t="s">
        <v>12</v>
      </c>
      <c r="E2132" t="s">
        <v>109</v>
      </c>
      <c r="F2132">
        <v>1400</v>
      </c>
      <c r="H2132">
        <f t="shared" si="74"/>
        <v>3</v>
      </c>
      <c r="I2132">
        <f t="shared" si="75"/>
        <v>2022</v>
      </c>
    </row>
    <row r="2133" spans="1:9" x14ac:dyDescent="0.3">
      <c r="A2133" s="1">
        <v>44636</v>
      </c>
      <c r="B2133" t="s">
        <v>28</v>
      </c>
      <c r="C2133" t="s">
        <v>101</v>
      </c>
      <c r="D2133" t="s">
        <v>23</v>
      </c>
      <c r="E2133" t="s">
        <v>202</v>
      </c>
      <c r="F2133">
        <v>1470</v>
      </c>
      <c r="H2133">
        <f t="shared" si="74"/>
        <v>3</v>
      </c>
      <c r="I2133">
        <f t="shared" si="75"/>
        <v>2022</v>
      </c>
    </row>
    <row r="2134" spans="1:9" x14ac:dyDescent="0.3">
      <c r="A2134" s="1">
        <v>44636</v>
      </c>
      <c r="B2134" t="s">
        <v>28</v>
      </c>
      <c r="C2134" t="s">
        <v>98</v>
      </c>
      <c r="D2134" t="s">
        <v>25</v>
      </c>
      <c r="E2134" t="s">
        <v>99</v>
      </c>
      <c r="F2134">
        <v>2700</v>
      </c>
      <c r="H2134">
        <f t="shared" si="74"/>
        <v>3</v>
      </c>
      <c r="I2134">
        <f t="shared" si="75"/>
        <v>2022</v>
      </c>
    </row>
    <row r="2135" spans="1:9" x14ac:dyDescent="0.3">
      <c r="A2135" s="1">
        <v>44636</v>
      </c>
      <c r="B2135" t="s">
        <v>28</v>
      </c>
      <c r="C2135" t="s">
        <v>364</v>
      </c>
      <c r="D2135" t="s">
        <v>59</v>
      </c>
      <c r="E2135" t="s">
        <v>13</v>
      </c>
      <c r="F2135">
        <v>2760</v>
      </c>
      <c r="H2135">
        <f t="shared" si="74"/>
        <v>3</v>
      </c>
      <c r="I2135">
        <f t="shared" si="75"/>
        <v>2022</v>
      </c>
    </row>
    <row r="2136" spans="1:9" x14ac:dyDescent="0.3">
      <c r="A2136" s="1">
        <v>44636</v>
      </c>
      <c r="B2136" t="s">
        <v>28</v>
      </c>
      <c r="C2136" t="s">
        <v>123</v>
      </c>
      <c r="D2136" t="s">
        <v>23</v>
      </c>
      <c r="E2136" t="s">
        <v>199</v>
      </c>
      <c r="F2136">
        <v>2340</v>
      </c>
      <c r="H2136">
        <f t="shared" si="74"/>
        <v>3</v>
      </c>
      <c r="I2136">
        <f t="shared" si="75"/>
        <v>2022</v>
      </c>
    </row>
    <row r="2137" spans="1:9" x14ac:dyDescent="0.3">
      <c r="A2137" s="1">
        <v>44636</v>
      </c>
      <c r="B2137" t="s">
        <v>10</v>
      </c>
      <c r="G2137">
        <v>16715</v>
      </c>
      <c r="H2137">
        <f t="shared" si="74"/>
        <v>3</v>
      </c>
      <c r="I2137">
        <f t="shared" si="75"/>
        <v>2022</v>
      </c>
    </row>
    <row r="2138" spans="1:9" x14ac:dyDescent="0.3">
      <c r="A2138" s="1">
        <v>44636</v>
      </c>
      <c r="B2138" t="s">
        <v>10</v>
      </c>
      <c r="C2138" t="s">
        <v>40</v>
      </c>
      <c r="D2138" t="s">
        <v>37</v>
      </c>
      <c r="E2138" t="s">
        <v>90</v>
      </c>
      <c r="F2138">
        <v>3200</v>
      </c>
      <c r="H2138">
        <f t="shared" si="74"/>
        <v>3</v>
      </c>
      <c r="I2138">
        <f t="shared" si="75"/>
        <v>2022</v>
      </c>
    </row>
    <row r="2139" spans="1:9" x14ac:dyDescent="0.3">
      <c r="A2139" s="1">
        <v>44636</v>
      </c>
      <c r="B2139" t="s">
        <v>10</v>
      </c>
      <c r="C2139" t="s">
        <v>98</v>
      </c>
      <c r="D2139" t="s">
        <v>9</v>
      </c>
      <c r="E2139" t="s">
        <v>26</v>
      </c>
      <c r="F2139">
        <v>10600</v>
      </c>
      <c r="H2139">
        <f t="shared" si="74"/>
        <v>3</v>
      </c>
      <c r="I2139">
        <f t="shared" si="75"/>
        <v>2022</v>
      </c>
    </row>
    <row r="2140" spans="1:9" x14ac:dyDescent="0.3">
      <c r="A2140" s="1">
        <v>44636</v>
      </c>
      <c r="B2140" t="s">
        <v>10</v>
      </c>
      <c r="C2140" t="s">
        <v>191</v>
      </c>
      <c r="D2140" t="s">
        <v>66</v>
      </c>
      <c r="E2140" t="s">
        <v>192</v>
      </c>
      <c r="F2140">
        <v>2915</v>
      </c>
      <c r="H2140">
        <f t="shared" si="74"/>
        <v>3</v>
      </c>
      <c r="I2140">
        <f t="shared" si="75"/>
        <v>2022</v>
      </c>
    </row>
    <row r="2141" spans="1:9" x14ac:dyDescent="0.3">
      <c r="A2141" s="1">
        <v>44636</v>
      </c>
      <c r="B2141" t="s">
        <v>3</v>
      </c>
      <c r="G2141">
        <v>1140</v>
      </c>
      <c r="H2141">
        <f t="shared" si="74"/>
        <v>3</v>
      </c>
      <c r="I2141">
        <f t="shared" si="75"/>
        <v>2022</v>
      </c>
    </row>
    <row r="2142" spans="1:9" x14ac:dyDescent="0.3">
      <c r="A2142" s="1">
        <v>44636</v>
      </c>
      <c r="B2142" t="s">
        <v>3</v>
      </c>
      <c r="C2142" t="s">
        <v>94</v>
      </c>
      <c r="D2142" t="s">
        <v>168</v>
      </c>
      <c r="E2142" t="s">
        <v>186</v>
      </c>
      <c r="F2142">
        <v>1140</v>
      </c>
      <c r="H2142">
        <f t="shared" si="74"/>
        <v>3</v>
      </c>
      <c r="I2142">
        <f t="shared" si="75"/>
        <v>2022</v>
      </c>
    </row>
    <row r="2143" spans="1:9" x14ac:dyDescent="0.3">
      <c r="A2143" s="1">
        <v>44637</v>
      </c>
      <c r="B2143" t="s">
        <v>234</v>
      </c>
      <c r="G2143">
        <v>9830</v>
      </c>
      <c r="H2143">
        <f t="shared" si="74"/>
        <v>3</v>
      </c>
      <c r="I2143">
        <f t="shared" si="75"/>
        <v>2022</v>
      </c>
    </row>
    <row r="2144" spans="1:9" x14ac:dyDescent="0.3">
      <c r="A2144" s="1">
        <v>44637</v>
      </c>
      <c r="B2144" t="s">
        <v>234</v>
      </c>
      <c r="C2144" t="s">
        <v>94</v>
      </c>
      <c r="D2144" t="s">
        <v>406</v>
      </c>
      <c r="E2144" t="s">
        <v>264</v>
      </c>
      <c r="F2144">
        <v>3230</v>
      </c>
      <c r="H2144">
        <f t="shared" si="74"/>
        <v>3</v>
      </c>
      <c r="I2144">
        <f t="shared" si="75"/>
        <v>2022</v>
      </c>
    </row>
    <row r="2145" spans="1:9" x14ac:dyDescent="0.3">
      <c r="A2145" s="1">
        <v>44637</v>
      </c>
      <c r="B2145" t="s">
        <v>234</v>
      </c>
      <c r="C2145" t="s">
        <v>40</v>
      </c>
      <c r="D2145" t="s">
        <v>9</v>
      </c>
      <c r="E2145" t="s">
        <v>104</v>
      </c>
      <c r="F2145">
        <v>6600</v>
      </c>
      <c r="H2145">
        <f t="shared" si="74"/>
        <v>3</v>
      </c>
      <c r="I2145">
        <f t="shared" si="75"/>
        <v>2022</v>
      </c>
    </row>
    <row r="2146" spans="1:9" x14ac:dyDescent="0.3">
      <c r="A2146" s="1">
        <v>44637</v>
      </c>
      <c r="B2146" t="s">
        <v>45</v>
      </c>
      <c r="G2146">
        <v>31360</v>
      </c>
      <c r="H2146">
        <f t="shared" si="74"/>
        <v>3</v>
      </c>
      <c r="I2146">
        <f t="shared" si="75"/>
        <v>2022</v>
      </c>
    </row>
    <row r="2147" spans="1:9" x14ac:dyDescent="0.3">
      <c r="A2147" s="1">
        <v>44637</v>
      </c>
      <c r="B2147" t="s">
        <v>45</v>
      </c>
      <c r="C2147" t="s">
        <v>40</v>
      </c>
      <c r="D2147" t="s">
        <v>407</v>
      </c>
      <c r="E2147" t="s">
        <v>90</v>
      </c>
      <c r="F2147">
        <v>31360</v>
      </c>
      <c r="H2147">
        <f t="shared" si="74"/>
        <v>3</v>
      </c>
      <c r="I2147">
        <f t="shared" si="75"/>
        <v>2022</v>
      </c>
    </row>
    <row r="2148" spans="1:9" x14ac:dyDescent="0.3">
      <c r="A2148" s="1">
        <v>44637</v>
      </c>
      <c r="B2148" t="s">
        <v>10</v>
      </c>
      <c r="G2148">
        <v>3200</v>
      </c>
      <c r="H2148">
        <f t="shared" si="74"/>
        <v>3</v>
      </c>
      <c r="I2148">
        <f t="shared" si="75"/>
        <v>2022</v>
      </c>
    </row>
    <row r="2149" spans="1:9" x14ac:dyDescent="0.3">
      <c r="A2149" s="1">
        <v>44637</v>
      </c>
      <c r="B2149" t="s">
        <v>10</v>
      </c>
      <c r="C2149" t="s">
        <v>40</v>
      </c>
      <c r="D2149" t="s">
        <v>37</v>
      </c>
      <c r="E2149" t="s">
        <v>90</v>
      </c>
      <c r="F2149">
        <v>3200</v>
      </c>
      <c r="H2149">
        <f t="shared" si="74"/>
        <v>3</v>
      </c>
      <c r="I2149">
        <f t="shared" si="75"/>
        <v>2022</v>
      </c>
    </row>
    <row r="2150" spans="1:9" x14ac:dyDescent="0.3">
      <c r="A2150" s="1">
        <v>44637</v>
      </c>
      <c r="B2150" t="s">
        <v>130</v>
      </c>
      <c r="G2150">
        <v>3300</v>
      </c>
      <c r="H2150">
        <f t="shared" si="74"/>
        <v>3</v>
      </c>
      <c r="I2150">
        <f t="shared" si="75"/>
        <v>2022</v>
      </c>
    </row>
    <row r="2151" spans="1:9" x14ac:dyDescent="0.3">
      <c r="A2151" s="1">
        <v>44637</v>
      </c>
      <c r="B2151" t="s">
        <v>130</v>
      </c>
      <c r="C2151" t="s">
        <v>40</v>
      </c>
      <c r="D2151" t="s">
        <v>37</v>
      </c>
      <c r="E2151" t="s">
        <v>104</v>
      </c>
      <c r="F2151">
        <v>3300</v>
      </c>
      <c r="H2151">
        <f t="shared" si="74"/>
        <v>3</v>
      </c>
      <c r="I2151">
        <f t="shared" si="75"/>
        <v>2022</v>
      </c>
    </row>
    <row r="2152" spans="1:9" x14ac:dyDescent="0.3">
      <c r="A2152" s="1">
        <v>44637</v>
      </c>
      <c r="B2152" t="s">
        <v>130</v>
      </c>
      <c r="G2152">
        <v>1650</v>
      </c>
      <c r="H2152">
        <f t="shared" si="74"/>
        <v>3</v>
      </c>
      <c r="I2152">
        <f t="shared" si="75"/>
        <v>2022</v>
      </c>
    </row>
    <row r="2153" spans="1:9" x14ac:dyDescent="0.3">
      <c r="A2153" s="1">
        <v>44637</v>
      </c>
      <c r="B2153" t="s">
        <v>130</v>
      </c>
      <c r="C2153" t="s">
        <v>40</v>
      </c>
      <c r="D2153" t="s">
        <v>25</v>
      </c>
      <c r="E2153" t="s">
        <v>104</v>
      </c>
      <c r="F2153">
        <v>1650</v>
      </c>
      <c r="H2153">
        <f t="shared" si="74"/>
        <v>3</v>
      </c>
      <c r="I2153">
        <f t="shared" si="75"/>
        <v>2022</v>
      </c>
    </row>
    <row r="2154" spans="1:9" x14ac:dyDescent="0.3">
      <c r="A2154" s="1">
        <v>44637</v>
      </c>
      <c r="B2154" t="s">
        <v>130</v>
      </c>
      <c r="G2154">
        <v>1680</v>
      </c>
      <c r="H2154">
        <f t="shared" si="74"/>
        <v>3</v>
      </c>
      <c r="I2154">
        <f t="shared" si="75"/>
        <v>2022</v>
      </c>
    </row>
    <row r="2155" spans="1:9" x14ac:dyDescent="0.3">
      <c r="A2155" s="1">
        <v>44637</v>
      </c>
      <c r="B2155" t="s">
        <v>130</v>
      </c>
      <c r="C2155" t="s">
        <v>38</v>
      </c>
      <c r="D2155" t="s">
        <v>12</v>
      </c>
      <c r="E2155" t="s">
        <v>79</v>
      </c>
      <c r="F2155">
        <v>840</v>
      </c>
      <c r="H2155">
        <f t="shared" si="74"/>
        <v>3</v>
      </c>
      <c r="I2155">
        <f t="shared" si="75"/>
        <v>2022</v>
      </c>
    </row>
    <row r="2156" spans="1:9" x14ac:dyDescent="0.3">
      <c r="A2156" s="1">
        <v>44637</v>
      </c>
      <c r="B2156" t="s">
        <v>130</v>
      </c>
      <c r="C2156" t="s">
        <v>11</v>
      </c>
      <c r="D2156" t="s">
        <v>12</v>
      </c>
      <c r="E2156" t="s">
        <v>79</v>
      </c>
      <c r="F2156">
        <v>840</v>
      </c>
      <c r="H2156">
        <f t="shared" si="74"/>
        <v>3</v>
      </c>
      <c r="I2156">
        <f t="shared" si="75"/>
        <v>2022</v>
      </c>
    </row>
    <row r="2157" spans="1:9" x14ac:dyDescent="0.3">
      <c r="A2157" s="1">
        <v>44637</v>
      </c>
      <c r="B2157" t="s">
        <v>3</v>
      </c>
      <c r="G2157">
        <v>200</v>
      </c>
      <c r="H2157">
        <f t="shared" si="74"/>
        <v>3</v>
      </c>
      <c r="I2157">
        <f t="shared" si="75"/>
        <v>2022</v>
      </c>
    </row>
    <row r="2158" spans="1:9" x14ac:dyDescent="0.3">
      <c r="A2158" s="1">
        <v>44637</v>
      </c>
      <c r="B2158" t="s">
        <v>3</v>
      </c>
      <c r="C2158" t="s">
        <v>94</v>
      </c>
      <c r="D2158" t="s">
        <v>131</v>
      </c>
      <c r="E2158" t="s">
        <v>132</v>
      </c>
      <c r="F2158">
        <v>200</v>
      </c>
      <c r="H2158">
        <f t="shared" si="74"/>
        <v>3</v>
      </c>
      <c r="I2158">
        <f t="shared" si="75"/>
        <v>2022</v>
      </c>
    </row>
    <row r="2159" spans="1:9" x14ac:dyDescent="0.3">
      <c r="A2159" s="1">
        <v>44637</v>
      </c>
      <c r="B2159" t="s">
        <v>3</v>
      </c>
      <c r="G2159">
        <v>11200</v>
      </c>
      <c r="H2159">
        <f t="shared" si="74"/>
        <v>3</v>
      </c>
      <c r="I2159">
        <f t="shared" si="75"/>
        <v>2022</v>
      </c>
    </row>
    <row r="2160" spans="1:9" x14ac:dyDescent="0.3">
      <c r="A2160" s="1">
        <v>44637</v>
      </c>
      <c r="B2160" t="s">
        <v>3</v>
      </c>
      <c r="C2160" t="s">
        <v>136</v>
      </c>
      <c r="D2160" t="s">
        <v>23</v>
      </c>
      <c r="E2160" t="s">
        <v>115</v>
      </c>
      <c r="F2160">
        <v>1950</v>
      </c>
      <c r="H2160">
        <f t="shared" si="74"/>
        <v>3</v>
      </c>
      <c r="I2160">
        <f t="shared" si="75"/>
        <v>2022</v>
      </c>
    </row>
    <row r="2161" spans="1:9" x14ac:dyDescent="0.3">
      <c r="A2161" s="1">
        <v>44637</v>
      </c>
      <c r="B2161" t="s">
        <v>3</v>
      </c>
      <c r="C2161" t="s">
        <v>44</v>
      </c>
      <c r="D2161" t="s">
        <v>12</v>
      </c>
      <c r="E2161" t="s">
        <v>102</v>
      </c>
      <c r="F2161">
        <v>960</v>
      </c>
      <c r="H2161">
        <f t="shared" si="74"/>
        <v>3</v>
      </c>
      <c r="I2161">
        <f t="shared" si="75"/>
        <v>2022</v>
      </c>
    </row>
    <row r="2162" spans="1:9" x14ac:dyDescent="0.3">
      <c r="A2162" s="1">
        <v>44637</v>
      </c>
      <c r="B2162" t="s">
        <v>3</v>
      </c>
      <c r="C2162" t="s">
        <v>94</v>
      </c>
      <c r="D2162" t="s">
        <v>244</v>
      </c>
      <c r="E2162" t="s">
        <v>290</v>
      </c>
      <c r="F2162">
        <v>5640</v>
      </c>
      <c r="H2162">
        <f t="shared" si="74"/>
        <v>3</v>
      </c>
      <c r="I2162">
        <f t="shared" si="75"/>
        <v>2022</v>
      </c>
    </row>
    <row r="2163" spans="1:9" x14ac:dyDescent="0.3">
      <c r="A2163" s="1">
        <v>44637</v>
      </c>
      <c r="B2163" t="s">
        <v>3</v>
      </c>
      <c r="C2163" t="s">
        <v>148</v>
      </c>
      <c r="D2163" t="s">
        <v>25</v>
      </c>
      <c r="E2163" t="s">
        <v>182</v>
      </c>
      <c r="F2163">
        <v>950</v>
      </c>
      <c r="H2163">
        <f t="shared" si="74"/>
        <v>3</v>
      </c>
      <c r="I2163">
        <f t="shared" si="75"/>
        <v>2022</v>
      </c>
    </row>
    <row r="2164" spans="1:9" x14ac:dyDescent="0.3">
      <c r="A2164" s="1">
        <v>44637</v>
      </c>
      <c r="B2164" t="s">
        <v>3</v>
      </c>
      <c r="C2164" t="s">
        <v>94</v>
      </c>
      <c r="D2164" t="s">
        <v>180</v>
      </c>
      <c r="E2164" t="s">
        <v>264</v>
      </c>
      <c r="F2164">
        <v>1700</v>
      </c>
      <c r="H2164">
        <f t="shared" si="74"/>
        <v>3</v>
      </c>
      <c r="I2164">
        <f t="shared" si="75"/>
        <v>2022</v>
      </c>
    </row>
    <row r="2165" spans="1:9" x14ac:dyDescent="0.3">
      <c r="A2165" s="1">
        <v>44637</v>
      </c>
      <c r="B2165" t="s">
        <v>3</v>
      </c>
      <c r="G2165">
        <v>3140</v>
      </c>
      <c r="H2165">
        <f t="shared" si="74"/>
        <v>3</v>
      </c>
      <c r="I2165">
        <f t="shared" si="75"/>
        <v>2022</v>
      </c>
    </row>
    <row r="2166" spans="1:9" x14ac:dyDescent="0.3">
      <c r="A2166" s="1">
        <v>44637</v>
      </c>
      <c r="B2166" t="s">
        <v>3</v>
      </c>
      <c r="C2166" t="s">
        <v>148</v>
      </c>
      <c r="D2166" t="s">
        <v>61</v>
      </c>
      <c r="E2166" t="s">
        <v>223</v>
      </c>
      <c r="F2166">
        <v>3150</v>
      </c>
      <c r="H2166">
        <f t="shared" si="74"/>
        <v>3</v>
      </c>
      <c r="I2166">
        <f t="shared" si="75"/>
        <v>2022</v>
      </c>
    </row>
    <row r="2167" spans="1:9" x14ac:dyDescent="0.3">
      <c r="A2167" s="1">
        <v>44637</v>
      </c>
      <c r="B2167" t="s">
        <v>3</v>
      </c>
      <c r="C2167" t="s">
        <v>148</v>
      </c>
      <c r="D2167" t="s">
        <v>12</v>
      </c>
      <c r="E2167" t="s">
        <v>182</v>
      </c>
      <c r="H2167">
        <f t="shared" si="74"/>
        <v>3</v>
      </c>
      <c r="I2167">
        <f t="shared" si="75"/>
        <v>2022</v>
      </c>
    </row>
    <row r="2168" spans="1:9" x14ac:dyDescent="0.3">
      <c r="A2168" s="1">
        <v>44637</v>
      </c>
      <c r="B2168" t="s">
        <v>24</v>
      </c>
      <c r="G2168">
        <v>-10</v>
      </c>
      <c r="H2168">
        <f t="shared" si="74"/>
        <v>3</v>
      </c>
      <c r="I2168">
        <f t="shared" si="75"/>
        <v>2022</v>
      </c>
    </row>
    <row r="2169" spans="1:9" x14ac:dyDescent="0.3">
      <c r="A2169" s="1">
        <v>44637</v>
      </c>
      <c r="B2169" t="s">
        <v>255</v>
      </c>
      <c r="G2169">
        <v>2055</v>
      </c>
      <c r="H2169">
        <f t="shared" si="74"/>
        <v>3</v>
      </c>
      <c r="I2169">
        <f t="shared" si="75"/>
        <v>2022</v>
      </c>
    </row>
    <row r="2170" spans="1:9" x14ac:dyDescent="0.3">
      <c r="A2170" s="1">
        <v>44637</v>
      </c>
      <c r="B2170" t="s">
        <v>255</v>
      </c>
      <c r="C2170" t="s">
        <v>40</v>
      </c>
      <c r="D2170" t="s">
        <v>25</v>
      </c>
      <c r="E2170" t="s">
        <v>117</v>
      </c>
      <c r="F2170">
        <v>1675</v>
      </c>
      <c r="H2170">
        <f t="shared" si="74"/>
        <v>3</v>
      </c>
      <c r="I2170">
        <f t="shared" si="75"/>
        <v>2022</v>
      </c>
    </row>
    <row r="2171" spans="1:9" x14ac:dyDescent="0.3">
      <c r="A2171" s="1">
        <v>44637</v>
      </c>
      <c r="B2171" t="s">
        <v>255</v>
      </c>
      <c r="C2171" t="s">
        <v>94</v>
      </c>
      <c r="D2171" t="s">
        <v>137</v>
      </c>
      <c r="E2171" t="s">
        <v>186</v>
      </c>
      <c r="F2171">
        <v>380</v>
      </c>
      <c r="H2171">
        <f t="shared" si="74"/>
        <v>3</v>
      </c>
      <c r="I2171">
        <f t="shared" si="75"/>
        <v>2022</v>
      </c>
    </row>
    <row r="2172" spans="1:9" x14ac:dyDescent="0.3">
      <c r="A2172" s="1">
        <v>44637</v>
      </c>
      <c r="B2172" t="s">
        <v>378</v>
      </c>
      <c r="G2172">
        <v>5250</v>
      </c>
      <c r="H2172">
        <f t="shared" si="74"/>
        <v>3</v>
      </c>
      <c r="I2172">
        <f t="shared" si="75"/>
        <v>2022</v>
      </c>
    </row>
    <row r="2173" spans="1:9" x14ac:dyDescent="0.3">
      <c r="A2173" s="1">
        <v>44637</v>
      </c>
      <c r="B2173" t="s">
        <v>378</v>
      </c>
      <c r="C2173" t="s">
        <v>40</v>
      </c>
      <c r="D2173" t="s">
        <v>37</v>
      </c>
      <c r="E2173" t="s">
        <v>117</v>
      </c>
      <c r="F2173">
        <v>3350</v>
      </c>
      <c r="H2173">
        <f t="shared" si="74"/>
        <v>3</v>
      </c>
      <c r="I2173">
        <f t="shared" si="75"/>
        <v>2022</v>
      </c>
    </row>
    <row r="2174" spans="1:9" x14ac:dyDescent="0.3">
      <c r="A2174" s="1">
        <v>44637</v>
      </c>
      <c r="B2174" t="s">
        <v>378</v>
      </c>
      <c r="C2174" t="s">
        <v>94</v>
      </c>
      <c r="D2174" t="s">
        <v>180</v>
      </c>
      <c r="E2174" t="s">
        <v>186</v>
      </c>
      <c r="F2174">
        <v>1900</v>
      </c>
      <c r="H2174">
        <f t="shared" si="74"/>
        <v>3</v>
      </c>
      <c r="I2174">
        <f t="shared" si="75"/>
        <v>2022</v>
      </c>
    </row>
    <row r="2175" spans="1:9" x14ac:dyDescent="0.3">
      <c r="A2175" s="1">
        <v>44637</v>
      </c>
      <c r="B2175" t="s">
        <v>232</v>
      </c>
      <c r="G2175">
        <v>21400</v>
      </c>
      <c r="H2175">
        <f t="shared" si="74"/>
        <v>3</v>
      </c>
      <c r="I2175">
        <f t="shared" si="75"/>
        <v>2022</v>
      </c>
    </row>
    <row r="2176" spans="1:9" x14ac:dyDescent="0.3">
      <c r="A2176" s="1">
        <v>44637</v>
      </c>
      <c r="B2176" t="s">
        <v>232</v>
      </c>
      <c r="C2176" t="s">
        <v>40</v>
      </c>
      <c r="D2176" t="s">
        <v>52</v>
      </c>
      <c r="E2176" t="s">
        <v>90</v>
      </c>
      <c r="F2176">
        <v>16000</v>
      </c>
      <c r="H2176">
        <f t="shared" si="74"/>
        <v>3</v>
      </c>
      <c r="I2176">
        <f t="shared" si="75"/>
        <v>2022</v>
      </c>
    </row>
    <row r="2177" spans="1:9" x14ac:dyDescent="0.3">
      <c r="A2177" s="1">
        <v>44637</v>
      </c>
      <c r="B2177" t="s">
        <v>232</v>
      </c>
      <c r="C2177" t="s">
        <v>98</v>
      </c>
      <c r="D2177" t="s">
        <v>37</v>
      </c>
      <c r="E2177" t="s">
        <v>99</v>
      </c>
      <c r="F2177">
        <v>5400</v>
      </c>
      <c r="H2177">
        <f t="shared" si="74"/>
        <v>3</v>
      </c>
      <c r="I2177">
        <f t="shared" si="75"/>
        <v>2022</v>
      </c>
    </row>
    <row r="2178" spans="1:9" x14ac:dyDescent="0.3">
      <c r="A2178" s="1">
        <v>44637</v>
      </c>
      <c r="B2178" t="s">
        <v>222</v>
      </c>
      <c r="G2178">
        <v>9725</v>
      </c>
      <c r="H2178">
        <f t="shared" si="74"/>
        <v>3</v>
      </c>
      <c r="I2178">
        <f t="shared" si="75"/>
        <v>2022</v>
      </c>
    </row>
    <row r="2179" spans="1:9" x14ac:dyDescent="0.3">
      <c r="A2179" s="1">
        <v>44637</v>
      </c>
      <c r="B2179" t="s">
        <v>222</v>
      </c>
      <c r="C2179" t="s">
        <v>216</v>
      </c>
      <c r="D2179" t="s">
        <v>25</v>
      </c>
      <c r="E2179" t="s">
        <v>205</v>
      </c>
      <c r="F2179">
        <v>3750</v>
      </c>
      <c r="H2179">
        <f t="shared" si="74"/>
        <v>3</v>
      </c>
      <c r="I2179">
        <f t="shared" si="75"/>
        <v>2022</v>
      </c>
    </row>
    <row r="2180" spans="1:9" x14ac:dyDescent="0.3">
      <c r="A2180" s="1">
        <v>44637</v>
      </c>
      <c r="B2180" t="s">
        <v>222</v>
      </c>
      <c r="C2180" t="s">
        <v>29</v>
      </c>
      <c r="D2180" t="s">
        <v>25</v>
      </c>
      <c r="E2180" t="s">
        <v>115</v>
      </c>
      <c r="F2180">
        <v>3250</v>
      </c>
      <c r="H2180">
        <f t="shared" si="74"/>
        <v>3</v>
      </c>
      <c r="I2180">
        <f t="shared" si="75"/>
        <v>2022</v>
      </c>
    </row>
    <row r="2181" spans="1:9" x14ac:dyDescent="0.3">
      <c r="A2181" s="1">
        <v>44637</v>
      </c>
      <c r="B2181" t="s">
        <v>222</v>
      </c>
      <c r="C2181" t="s">
        <v>94</v>
      </c>
      <c r="D2181" t="s">
        <v>408</v>
      </c>
      <c r="E2181" t="s">
        <v>186</v>
      </c>
      <c r="F2181">
        <v>1330</v>
      </c>
      <c r="H2181">
        <f t="shared" si="74"/>
        <v>3</v>
      </c>
      <c r="I2181">
        <f t="shared" si="75"/>
        <v>2022</v>
      </c>
    </row>
    <row r="2182" spans="1:9" x14ac:dyDescent="0.3">
      <c r="A2182" s="1">
        <v>44637</v>
      </c>
      <c r="B2182" t="s">
        <v>222</v>
      </c>
      <c r="C2182" t="s">
        <v>219</v>
      </c>
      <c r="D2182" t="s">
        <v>5</v>
      </c>
      <c r="E2182" t="s">
        <v>409</v>
      </c>
      <c r="F2182">
        <v>855</v>
      </c>
      <c r="H2182">
        <f t="shared" si="74"/>
        <v>3</v>
      </c>
      <c r="I2182">
        <f t="shared" si="75"/>
        <v>2022</v>
      </c>
    </row>
    <row r="2183" spans="1:9" x14ac:dyDescent="0.3">
      <c r="A2183" s="1">
        <v>44637</v>
      </c>
      <c r="B2183" t="s">
        <v>222</v>
      </c>
      <c r="C2183" t="s">
        <v>108</v>
      </c>
      <c r="D2183" t="s">
        <v>5</v>
      </c>
      <c r="E2183" t="s">
        <v>99</v>
      </c>
      <c r="F2183">
        <v>540</v>
      </c>
      <c r="H2183">
        <f t="shared" si="74"/>
        <v>3</v>
      </c>
      <c r="I2183">
        <f t="shared" si="75"/>
        <v>2022</v>
      </c>
    </row>
    <row r="2184" spans="1:9" x14ac:dyDescent="0.3">
      <c r="A2184" s="1">
        <v>44637</v>
      </c>
      <c r="B2184" t="s">
        <v>97</v>
      </c>
      <c r="G2184">
        <v>5100</v>
      </c>
      <c r="H2184">
        <f t="shared" si="74"/>
        <v>3</v>
      </c>
      <c r="I2184">
        <f t="shared" si="75"/>
        <v>2022</v>
      </c>
    </row>
    <row r="2185" spans="1:9" x14ac:dyDescent="0.3">
      <c r="A2185" s="1">
        <v>44637</v>
      </c>
      <c r="B2185" t="s">
        <v>97</v>
      </c>
      <c r="C2185" t="s">
        <v>94</v>
      </c>
      <c r="D2185" t="s">
        <v>244</v>
      </c>
      <c r="E2185" t="s">
        <v>264</v>
      </c>
      <c r="F2185">
        <v>5100</v>
      </c>
      <c r="H2185">
        <f t="shared" si="74"/>
        <v>3</v>
      </c>
      <c r="I2185">
        <f t="shared" si="75"/>
        <v>2022</v>
      </c>
    </row>
    <row r="2186" spans="1:9" x14ac:dyDescent="0.3">
      <c r="A2186" s="1">
        <v>44637</v>
      </c>
      <c r="B2186" t="s">
        <v>45</v>
      </c>
      <c r="G2186">
        <v>9250</v>
      </c>
      <c r="H2186">
        <f t="shared" si="74"/>
        <v>3</v>
      </c>
      <c r="I2186">
        <f t="shared" si="75"/>
        <v>2022</v>
      </c>
    </row>
    <row r="2187" spans="1:9" x14ac:dyDescent="0.3">
      <c r="A2187" s="1">
        <v>44637</v>
      </c>
      <c r="B2187" t="s">
        <v>45</v>
      </c>
      <c r="C2187" t="s">
        <v>94</v>
      </c>
      <c r="D2187" t="s">
        <v>245</v>
      </c>
      <c r="E2187" t="s">
        <v>373</v>
      </c>
      <c r="F2187">
        <v>9250</v>
      </c>
      <c r="H2187">
        <f t="shared" si="74"/>
        <v>3</v>
      </c>
      <c r="I2187">
        <f t="shared" si="75"/>
        <v>2022</v>
      </c>
    </row>
    <row r="2188" spans="1:9" x14ac:dyDescent="0.3">
      <c r="A2188" s="1">
        <v>44638</v>
      </c>
      <c r="B2188" t="s">
        <v>10</v>
      </c>
      <c r="G2188">
        <v>830</v>
      </c>
      <c r="H2188">
        <f t="shared" si="74"/>
        <v>3</v>
      </c>
      <c r="I2188">
        <f t="shared" si="75"/>
        <v>2022</v>
      </c>
    </row>
    <row r="2189" spans="1:9" x14ac:dyDescent="0.3">
      <c r="A2189" s="1">
        <v>44638</v>
      </c>
      <c r="B2189" t="s">
        <v>10</v>
      </c>
      <c r="C2189" t="s">
        <v>38</v>
      </c>
      <c r="D2189" t="s">
        <v>12</v>
      </c>
      <c r="E2189" t="s">
        <v>212</v>
      </c>
      <c r="F2189">
        <v>830</v>
      </c>
      <c r="H2189">
        <f t="shared" si="74"/>
        <v>3</v>
      </c>
      <c r="I2189">
        <f t="shared" si="75"/>
        <v>2022</v>
      </c>
    </row>
    <row r="2190" spans="1:9" x14ac:dyDescent="0.3">
      <c r="A2190" s="1">
        <v>44638</v>
      </c>
      <c r="B2190" t="s">
        <v>10</v>
      </c>
      <c r="G2190">
        <v>40715</v>
      </c>
      <c r="H2190">
        <f t="shared" si="74"/>
        <v>3</v>
      </c>
      <c r="I2190">
        <f t="shared" si="75"/>
        <v>2022</v>
      </c>
    </row>
    <row r="2191" spans="1:9" x14ac:dyDescent="0.3">
      <c r="A2191" s="1">
        <v>44638</v>
      </c>
      <c r="B2191" t="s">
        <v>10</v>
      </c>
      <c r="C2191" t="s">
        <v>40</v>
      </c>
      <c r="D2191" t="s">
        <v>65</v>
      </c>
      <c r="E2191" t="s">
        <v>90</v>
      </c>
      <c r="F2191">
        <v>32000</v>
      </c>
      <c r="H2191">
        <f t="shared" si="74"/>
        <v>3</v>
      </c>
      <c r="I2191">
        <f t="shared" si="75"/>
        <v>2022</v>
      </c>
    </row>
    <row r="2192" spans="1:9" x14ac:dyDescent="0.3">
      <c r="A2192" s="1">
        <v>44638</v>
      </c>
      <c r="B2192" t="s">
        <v>10</v>
      </c>
      <c r="C2192" t="s">
        <v>38</v>
      </c>
      <c r="D2192" t="s">
        <v>61</v>
      </c>
      <c r="E2192" t="s">
        <v>212</v>
      </c>
      <c r="F2192">
        <v>6225</v>
      </c>
      <c r="H2192">
        <f t="shared" si="74"/>
        <v>3</v>
      </c>
      <c r="I2192">
        <f t="shared" si="75"/>
        <v>2022</v>
      </c>
    </row>
    <row r="2193" spans="1:9" x14ac:dyDescent="0.3">
      <c r="A2193" s="1">
        <v>44638</v>
      </c>
      <c r="B2193" t="s">
        <v>10</v>
      </c>
      <c r="C2193" t="s">
        <v>11</v>
      </c>
      <c r="D2193" t="s">
        <v>18</v>
      </c>
      <c r="E2193" t="s">
        <v>212</v>
      </c>
      <c r="F2193">
        <v>2490</v>
      </c>
      <c r="H2193">
        <f t="shared" si="74"/>
        <v>3</v>
      </c>
      <c r="I2193">
        <f t="shared" si="75"/>
        <v>2022</v>
      </c>
    </row>
    <row r="2194" spans="1:9" x14ac:dyDescent="0.3">
      <c r="A2194" s="1">
        <v>44638</v>
      </c>
      <c r="B2194" t="s">
        <v>8</v>
      </c>
      <c r="G2194">
        <v>51380</v>
      </c>
      <c r="H2194">
        <f t="shared" si="74"/>
        <v>3</v>
      </c>
      <c r="I2194">
        <f t="shared" si="75"/>
        <v>2022</v>
      </c>
    </row>
    <row r="2195" spans="1:9" x14ac:dyDescent="0.3">
      <c r="A2195" s="1">
        <v>44638</v>
      </c>
      <c r="B2195" t="s">
        <v>8</v>
      </c>
      <c r="C2195" t="s">
        <v>40</v>
      </c>
      <c r="D2195" t="s">
        <v>65</v>
      </c>
      <c r="E2195" t="s">
        <v>90</v>
      </c>
      <c r="F2195">
        <v>32000</v>
      </c>
      <c r="H2195">
        <f t="shared" ref="H2195:H2253" si="76">MONTH(A2195)</f>
        <v>3</v>
      </c>
      <c r="I2195">
        <f t="shared" ref="I2195:I2253" si="77">YEAR(A2195)</f>
        <v>2022</v>
      </c>
    </row>
    <row r="2196" spans="1:9" x14ac:dyDescent="0.3">
      <c r="A2196" s="1">
        <v>44638</v>
      </c>
      <c r="B2196" t="s">
        <v>8</v>
      </c>
      <c r="C2196" t="s">
        <v>94</v>
      </c>
      <c r="D2196" t="s">
        <v>244</v>
      </c>
      <c r="E2196" t="s">
        <v>373</v>
      </c>
      <c r="F2196">
        <v>5550</v>
      </c>
      <c r="H2196">
        <f t="shared" si="76"/>
        <v>3</v>
      </c>
      <c r="I2196">
        <f t="shared" si="77"/>
        <v>2022</v>
      </c>
    </row>
    <row r="2197" spans="1:9" x14ac:dyDescent="0.3">
      <c r="A2197" s="1">
        <v>44638</v>
      </c>
      <c r="B2197" t="s">
        <v>8</v>
      </c>
      <c r="C2197" t="s">
        <v>38</v>
      </c>
      <c r="D2197" t="s">
        <v>9</v>
      </c>
      <c r="E2197" t="s">
        <v>212</v>
      </c>
      <c r="F2197">
        <v>8300</v>
      </c>
      <c r="H2197">
        <f t="shared" si="76"/>
        <v>3</v>
      </c>
      <c r="I2197">
        <f t="shared" si="77"/>
        <v>2022</v>
      </c>
    </row>
    <row r="2198" spans="1:9" x14ac:dyDescent="0.3">
      <c r="A2198" s="1">
        <v>44638</v>
      </c>
      <c r="B2198" t="s">
        <v>8</v>
      </c>
      <c r="C2198" t="s">
        <v>11</v>
      </c>
      <c r="D2198" t="s">
        <v>37</v>
      </c>
      <c r="E2198" t="s">
        <v>212</v>
      </c>
      <c r="F2198">
        <v>4150</v>
      </c>
      <c r="H2198">
        <f t="shared" si="76"/>
        <v>3</v>
      </c>
      <c r="I2198">
        <f t="shared" si="77"/>
        <v>2022</v>
      </c>
    </row>
    <row r="2199" spans="1:9" x14ac:dyDescent="0.3">
      <c r="A2199" s="1">
        <v>44638</v>
      </c>
      <c r="B2199" t="s">
        <v>8</v>
      </c>
      <c r="C2199" t="s">
        <v>364</v>
      </c>
      <c r="D2199" t="s">
        <v>93</v>
      </c>
      <c r="E2199" t="s">
        <v>13</v>
      </c>
      <c r="F2199">
        <v>1380</v>
      </c>
      <c r="H2199">
        <f t="shared" si="76"/>
        <v>3</v>
      </c>
      <c r="I2199">
        <f t="shared" si="77"/>
        <v>2022</v>
      </c>
    </row>
    <row r="2200" spans="1:9" x14ac:dyDescent="0.3">
      <c r="A2200" s="1">
        <v>44638</v>
      </c>
      <c r="B2200" t="s">
        <v>48</v>
      </c>
      <c r="G2200">
        <v>19405</v>
      </c>
      <c r="H2200">
        <f t="shared" si="76"/>
        <v>3</v>
      </c>
      <c r="I2200">
        <f t="shared" si="77"/>
        <v>2022</v>
      </c>
    </row>
    <row r="2201" spans="1:9" x14ac:dyDescent="0.3">
      <c r="A2201" s="1">
        <v>44638</v>
      </c>
      <c r="B2201" t="s">
        <v>48</v>
      </c>
      <c r="C2201" t="s">
        <v>40</v>
      </c>
      <c r="D2201" t="s">
        <v>39</v>
      </c>
      <c r="E2201" t="s">
        <v>90</v>
      </c>
      <c r="F2201">
        <v>9600</v>
      </c>
      <c r="H2201">
        <f t="shared" si="76"/>
        <v>3</v>
      </c>
      <c r="I2201">
        <f t="shared" si="77"/>
        <v>2022</v>
      </c>
    </row>
    <row r="2202" spans="1:9" x14ac:dyDescent="0.3">
      <c r="A2202" s="1">
        <v>44638</v>
      </c>
      <c r="B2202" t="s">
        <v>48</v>
      </c>
      <c r="C2202" t="s">
        <v>94</v>
      </c>
      <c r="D2202" t="s">
        <v>410</v>
      </c>
      <c r="E2202" t="s">
        <v>411</v>
      </c>
      <c r="F2202">
        <v>6405</v>
      </c>
      <c r="H2202">
        <f t="shared" si="76"/>
        <v>3</v>
      </c>
      <c r="I2202">
        <f t="shared" si="77"/>
        <v>2022</v>
      </c>
    </row>
    <row r="2203" spans="1:9" x14ac:dyDescent="0.3">
      <c r="A2203" s="1">
        <v>44638</v>
      </c>
      <c r="B2203" t="s">
        <v>48</v>
      </c>
      <c r="C2203" t="s">
        <v>94</v>
      </c>
      <c r="D2203" t="s">
        <v>251</v>
      </c>
      <c r="E2203" t="s">
        <v>264</v>
      </c>
      <c r="F2203">
        <v>3400</v>
      </c>
      <c r="H2203">
        <f t="shared" si="76"/>
        <v>3</v>
      </c>
      <c r="I2203">
        <f t="shared" si="77"/>
        <v>2022</v>
      </c>
    </row>
    <row r="2204" spans="1:9" x14ac:dyDescent="0.3">
      <c r="A2204" s="1">
        <v>44640</v>
      </c>
      <c r="B2204" t="s">
        <v>64</v>
      </c>
      <c r="G2204">
        <v>31350</v>
      </c>
      <c r="H2204">
        <f t="shared" si="76"/>
        <v>3</v>
      </c>
      <c r="I2204">
        <f t="shared" si="77"/>
        <v>2022</v>
      </c>
    </row>
    <row r="2205" spans="1:9" x14ac:dyDescent="0.3">
      <c r="A2205" s="1">
        <v>44640</v>
      </c>
      <c r="B2205" t="s">
        <v>64</v>
      </c>
      <c r="C2205" t="s">
        <v>40</v>
      </c>
      <c r="D2205" t="s">
        <v>127</v>
      </c>
      <c r="E2205" t="s">
        <v>60</v>
      </c>
      <c r="F2205">
        <v>26000</v>
      </c>
      <c r="H2205">
        <f t="shared" si="76"/>
        <v>3</v>
      </c>
      <c r="I2205">
        <f t="shared" si="77"/>
        <v>2022</v>
      </c>
    </row>
    <row r="2206" spans="1:9" x14ac:dyDescent="0.3">
      <c r="A2206" s="1">
        <v>44640</v>
      </c>
      <c r="B2206" t="s">
        <v>64</v>
      </c>
      <c r="C2206" t="s">
        <v>98</v>
      </c>
      <c r="D2206" t="s">
        <v>37</v>
      </c>
      <c r="E2206" t="s">
        <v>14</v>
      </c>
      <c r="F2206">
        <v>5350</v>
      </c>
      <c r="H2206">
        <f t="shared" si="76"/>
        <v>3</v>
      </c>
      <c r="I2206">
        <f t="shared" si="77"/>
        <v>2022</v>
      </c>
    </row>
    <row r="2207" spans="1:9" x14ac:dyDescent="0.3">
      <c r="A2207" s="1">
        <v>44641</v>
      </c>
      <c r="B2207" t="s">
        <v>32</v>
      </c>
      <c r="G2207">
        <v>7236</v>
      </c>
      <c r="H2207">
        <f t="shared" si="76"/>
        <v>3</v>
      </c>
      <c r="I2207">
        <f t="shared" si="77"/>
        <v>2022</v>
      </c>
    </row>
    <row r="2208" spans="1:9" x14ac:dyDescent="0.3">
      <c r="A2208" s="1">
        <v>44641</v>
      </c>
      <c r="B2208" t="s">
        <v>32</v>
      </c>
      <c r="C2208" t="s">
        <v>33</v>
      </c>
      <c r="D2208" t="s">
        <v>18</v>
      </c>
      <c r="E2208" t="s">
        <v>348</v>
      </c>
      <c r="F2208">
        <v>3276</v>
      </c>
      <c r="H2208">
        <f t="shared" si="76"/>
        <v>3</v>
      </c>
      <c r="I2208">
        <f t="shared" si="77"/>
        <v>2022</v>
      </c>
    </row>
    <row r="2209" spans="1:9" x14ac:dyDescent="0.3">
      <c r="A2209" s="1">
        <v>44641</v>
      </c>
      <c r="B2209" t="s">
        <v>32</v>
      </c>
      <c r="C2209" t="s">
        <v>22</v>
      </c>
      <c r="D2209" t="s">
        <v>37</v>
      </c>
      <c r="E2209" t="s">
        <v>210</v>
      </c>
      <c r="F2209">
        <v>2780</v>
      </c>
      <c r="H2209">
        <f t="shared" si="76"/>
        <v>3</v>
      </c>
      <c r="I2209">
        <f t="shared" si="77"/>
        <v>2022</v>
      </c>
    </row>
    <row r="2210" spans="1:9" x14ac:dyDescent="0.3">
      <c r="A2210" s="1">
        <v>44641</v>
      </c>
      <c r="B2210" t="s">
        <v>32</v>
      </c>
      <c r="C2210" t="s">
        <v>173</v>
      </c>
      <c r="D2210" t="s">
        <v>37</v>
      </c>
      <c r="E2210" t="s">
        <v>357</v>
      </c>
      <c r="F2210">
        <v>1180</v>
      </c>
      <c r="H2210">
        <f t="shared" si="76"/>
        <v>3</v>
      </c>
      <c r="I2210">
        <f t="shared" si="77"/>
        <v>2022</v>
      </c>
    </row>
    <row r="2211" spans="1:9" x14ac:dyDescent="0.3">
      <c r="A2211" s="1">
        <v>44641</v>
      </c>
      <c r="B2211" t="s">
        <v>248</v>
      </c>
      <c r="G2211">
        <v>6600</v>
      </c>
      <c r="H2211">
        <f t="shared" si="76"/>
        <v>3</v>
      </c>
      <c r="I2211">
        <f t="shared" si="77"/>
        <v>2022</v>
      </c>
    </row>
    <row r="2212" spans="1:9" x14ac:dyDescent="0.3">
      <c r="A2212" s="1">
        <v>44641</v>
      </c>
      <c r="B2212" t="s">
        <v>248</v>
      </c>
      <c r="C2212" t="s">
        <v>40</v>
      </c>
      <c r="D2212" t="s">
        <v>9</v>
      </c>
      <c r="E2212" t="s">
        <v>104</v>
      </c>
      <c r="F2212">
        <v>6600</v>
      </c>
      <c r="H2212">
        <f t="shared" si="76"/>
        <v>3</v>
      </c>
      <c r="I2212">
        <f t="shared" si="77"/>
        <v>2022</v>
      </c>
    </row>
    <row r="2213" spans="1:9" x14ac:dyDescent="0.3">
      <c r="A2213" s="1">
        <v>44641</v>
      </c>
      <c r="B2213" t="s">
        <v>83</v>
      </c>
      <c r="G2213">
        <v>32500</v>
      </c>
      <c r="H2213">
        <f t="shared" si="76"/>
        <v>3</v>
      </c>
      <c r="I2213">
        <f t="shared" si="77"/>
        <v>2022</v>
      </c>
    </row>
    <row r="2214" spans="1:9" x14ac:dyDescent="0.3">
      <c r="A2214" s="1">
        <v>44641</v>
      </c>
      <c r="B2214" t="s">
        <v>83</v>
      </c>
      <c r="C2214" t="s">
        <v>40</v>
      </c>
      <c r="D2214" t="s">
        <v>65</v>
      </c>
      <c r="E2214" t="s">
        <v>60</v>
      </c>
      <c r="F2214">
        <v>32500</v>
      </c>
      <c r="H2214">
        <f t="shared" si="76"/>
        <v>3</v>
      </c>
      <c r="I2214">
        <f t="shared" si="77"/>
        <v>2022</v>
      </c>
    </row>
    <row r="2215" spans="1:9" x14ac:dyDescent="0.3">
      <c r="A2215" s="1">
        <v>44641</v>
      </c>
      <c r="B2215" t="s">
        <v>3</v>
      </c>
      <c r="G2215">
        <v>16000</v>
      </c>
      <c r="H2215">
        <f t="shared" si="76"/>
        <v>3</v>
      </c>
      <c r="I2215">
        <f t="shared" si="77"/>
        <v>2022</v>
      </c>
    </row>
    <row r="2216" spans="1:9" x14ac:dyDescent="0.3">
      <c r="A2216" s="1">
        <v>44641</v>
      </c>
      <c r="B2216" t="s">
        <v>3</v>
      </c>
      <c r="C2216" t="s">
        <v>40</v>
      </c>
      <c r="D2216" t="s">
        <v>52</v>
      </c>
      <c r="E2216" t="s">
        <v>90</v>
      </c>
      <c r="F2216">
        <v>16000</v>
      </c>
      <c r="H2216">
        <f t="shared" si="76"/>
        <v>3</v>
      </c>
      <c r="I2216">
        <f t="shared" si="77"/>
        <v>2022</v>
      </c>
    </row>
    <row r="2217" spans="1:9" x14ac:dyDescent="0.3">
      <c r="A2217" s="1">
        <v>44641</v>
      </c>
      <c r="B2217" t="s">
        <v>3</v>
      </c>
      <c r="G2217">
        <v>5650</v>
      </c>
      <c r="H2217">
        <f t="shared" si="76"/>
        <v>3</v>
      </c>
      <c r="I2217">
        <f t="shared" si="77"/>
        <v>2022</v>
      </c>
    </row>
    <row r="2218" spans="1:9" x14ac:dyDescent="0.3">
      <c r="A2218" s="1">
        <v>44641</v>
      </c>
      <c r="B2218" t="s">
        <v>3</v>
      </c>
      <c r="C2218" t="s">
        <v>40</v>
      </c>
      <c r="D2218" t="s">
        <v>37</v>
      </c>
      <c r="E2218" t="s">
        <v>60</v>
      </c>
      <c r="F2218">
        <v>3250</v>
      </c>
      <c r="H2218">
        <f t="shared" si="76"/>
        <v>3</v>
      </c>
      <c r="I2218">
        <f t="shared" si="77"/>
        <v>2022</v>
      </c>
    </row>
    <row r="2219" spans="1:9" x14ac:dyDescent="0.3">
      <c r="A2219" s="1">
        <v>44641</v>
      </c>
      <c r="B2219" t="s">
        <v>3</v>
      </c>
      <c r="C2219" t="s">
        <v>125</v>
      </c>
      <c r="D2219" t="s">
        <v>12</v>
      </c>
      <c r="E2219" t="s">
        <v>109</v>
      </c>
      <c r="F2219">
        <v>1400</v>
      </c>
      <c r="H2219">
        <f t="shared" si="76"/>
        <v>3</v>
      </c>
      <c r="I2219">
        <f t="shared" si="77"/>
        <v>2022</v>
      </c>
    </row>
    <row r="2220" spans="1:9" x14ac:dyDescent="0.3">
      <c r="A2220" s="1">
        <v>44641</v>
      </c>
      <c r="B2220" t="s">
        <v>3</v>
      </c>
      <c r="C2220" t="s">
        <v>101</v>
      </c>
      <c r="D2220" t="s">
        <v>12</v>
      </c>
      <c r="E2220" t="s">
        <v>156</v>
      </c>
      <c r="F2220">
        <v>1000</v>
      </c>
      <c r="H2220">
        <f t="shared" si="76"/>
        <v>3</v>
      </c>
      <c r="I2220">
        <f t="shared" si="77"/>
        <v>2022</v>
      </c>
    </row>
    <row r="2221" spans="1:9" x14ac:dyDescent="0.3">
      <c r="A2221" s="1">
        <v>44641</v>
      </c>
      <c r="B2221" t="s">
        <v>3</v>
      </c>
      <c r="G2221">
        <v>6600</v>
      </c>
      <c r="H2221">
        <f t="shared" si="76"/>
        <v>3</v>
      </c>
      <c r="I2221">
        <f t="shared" si="77"/>
        <v>2022</v>
      </c>
    </row>
    <row r="2222" spans="1:9" x14ac:dyDescent="0.3">
      <c r="A2222" s="1">
        <v>44641</v>
      </c>
      <c r="B2222" t="s">
        <v>3</v>
      </c>
      <c r="C2222" t="s">
        <v>40</v>
      </c>
      <c r="D2222" t="s">
        <v>9</v>
      </c>
      <c r="E2222" t="s">
        <v>104</v>
      </c>
      <c r="F2222">
        <v>6600</v>
      </c>
      <c r="H2222">
        <f t="shared" si="76"/>
        <v>3</v>
      </c>
      <c r="I2222">
        <f t="shared" si="77"/>
        <v>2022</v>
      </c>
    </row>
    <row r="2223" spans="1:9" x14ac:dyDescent="0.3">
      <c r="A2223" s="1">
        <v>44641</v>
      </c>
      <c r="B2223" t="s">
        <v>3</v>
      </c>
      <c r="G2223">
        <v>2550</v>
      </c>
      <c r="H2223">
        <f t="shared" si="76"/>
        <v>3</v>
      </c>
      <c r="I2223">
        <f t="shared" si="77"/>
        <v>2022</v>
      </c>
    </row>
    <row r="2224" spans="1:9" x14ac:dyDescent="0.3">
      <c r="A2224" s="1">
        <v>44641</v>
      </c>
      <c r="B2224" t="s">
        <v>3</v>
      </c>
      <c r="C2224" t="s">
        <v>29</v>
      </c>
      <c r="D2224" t="s">
        <v>93</v>
      </c>
      <c r="E2224" t="s">
        <v>115</v>
      </c>
      <c r="F2224">
        <v>2600</v>
      </c>
      <c r="H2224">
        <f t="shared" si="76"/>
        <v>3</v>
      </c>
      <c r="I2224">
        <f t="shared" si="77"/>
        <v>2022</v>
      </c>
    </row>
    <row r="2225" spans="1:9" x14ac:dyDescent="0.3">
      <c r="A2225" s="1">
        <v>44641</v>
      </c>
      <c r="B2225" t="s">
        <v>24</v>
      </c>
      <c r="G2225">
        <v>-50</v>
      </c>
      <c r="H2225">
        <f t="shared" si="76"/>
        <v>3</v>
      </c>
      <c r="I2225">
        <f t="shared" si="77"/>
        <v>2022</v>
      </c>
    </row>
    <row r="2226" spans="1:9" x14ac:dyDescent="0.3">
      <c r="A2226" s="1">
        <v>44641</v>
      </c>
      <c r="B2226" t="s">
        <v>3</v>
      </c>
      <c r="G2226">
        <v>1080</v>
      </c>
      <c r="H2226">
        <f t="shared" si="76"/>
        <v>3</v>
      </c>
      <c r="I2226">
        <f t="shared" si="77"/>
        <v>2022</v>
      </c>
    </row>
    <row r="2227" spans="1:9" x14ac:dyDescent="0.3">
      <c r="A2227" s="1">
        <v>44641</v>
      </c>
      <c r="B2227" t="s">
        <v>3</v>
      </c>
      <c r="C2227" t="s">
        <v>133</v>
      </c>
      <c r="D2227" t="s">
        <v>12</v>
      </c>
      <c r="E2227" t="s">
        <v>99</v>
      </c>
      <c r="F2227">
        <v>1080</v>
      </c>
      <c r="H2227">
        <f t="shared" si="76"/>
        <v>3</v>
      </c>
      <c r="I2227">
        <f t="shared" si="77"/>
        <v>2022</v>
      </c>
    </row>
    <row r="2228" spans="1:9" x14ac:dyDescent="0.3">
      <c r="A2228" s="1">
        <v>44641</v>
      </c>
      <c r="B2228" t="s">
        <v>141</v>
      </c>
      <c r="G2228">
        <v>3900</v>
      </c>
      <c r="H2228">
        <f t="shared" si="76"/>
        <v>3</v>
      </c>
      <c r="I2228">
        <f t="shared" si="77"/>
        <v>2022</v>
      </c>
    </row>
    <row r="2229" spans="1:9" x14ac:dyDescent="0.3">
      <c r="A2229" s="1">
        <v>44641</v>
      </c>
      <c r="B2229" t="s">
        <v>141</v>
      </c>
      <c r="C2229" t="s">
        <v>394</v>
      </c>
      <c r="D2229" t="s">
        <v>12</v>
      </c>
      <c r="E2229" t="s">
        <v>170</v>
      </c>
      <c r="F2229">
        <v>1720</v>
      </c>
      <c r="H2229">
        <f t="shared" si="76"/>
        <v>3</v>
      </c>
      <c r="I2229">
        <f t="shared" si="77"/>
        <v>2022</v>
      </c>
    </row>
    <row r="2230" spans="1:9" x14ac:dyDescent="0.3">
      <c r="A2230" s="1">
        <v>44641</v>
      </c>
      <c r="B2230" t="s">
        <v>141</v>
      </c>
      <c r="C2230" t="s">
        <v>133</v>
      </c>
      <c r="D2230" t="s">
        <v>93</v>
      </c>
      <c r="E2230" t="s">
        <v>164</v>
      </c>
      <c r="F2230">
        <v>2180</v>
      </c>
      <c r="H2230">
        <f t="shared" si="76"/>
        <v>3</v>
      </c>
      <c r="I2230">
        <f t="shared" si="77"/>
        <v>2022</v>
      </c>
    </row>
    <row r="2231" spans="1:9" x14ac:dyDescent="0.3">
      <c r="A2231" s="1">
        <v>44641</v>
      </c>
      <c r="B2231" t="s">
        <v>48</v>
      </c>
      <c r="G2231">
        <v>1765</v>
      </c>
      <c r="H2231">
        <f t="shared" si="76"/>
        <v>3</v>
      </c>
      <c r="I2231">
        <f t="shared" si="77"/>
        <v>2022</v>
      </c>
    </row>
    <row r="2232" spans="1:9" x14ac:dyDescent="0.3">
      <c r="A2232" s="1">
        <v>44641</v>
      </c>
      <c r="B2232" t="s">
        <v>48</v>
      </c>
      <c r="C2232" t="s">
        <v>94</v>
      </c>
      <c r="D2232" t="s">
        <v>174</v>
      </c>
      <c r="E2232" t="s">
        <v>264</v>
      </c>
      <c r="F2232">
        <v>850</v>
      </c>
      <c r="H2232">
        <f t="shared" si="76"/>
        <v>3</v>
      </c>
      <c r="I2232">
        <f t="shared" si="77"/>
        <v>2022</v>
      </c>
    </row>
    <row r="2233" spans="1:9" x14ac:dyDescent="0.3">
      <c r="A2233" s="1">
        <v>44641</v>
      </c>
      <c r="B2233" t="s">
        <v>48</v>
      </c>
      <c r="C2233" t="s">
        <v>94</v>
      </c>
      <c r="D2233" t="s">
        <v>174</v>
      </c>
      <c r="E2233" t="s">
        <v>411</v>
      </c>
      <c r="F2233">
        <v>915</v>
      </c>
      <c r="H2233">
        <f t="shared" si="76"/>
        <v>3</v>
      </c>
      <c r="I2233">
        <f t="shared" si="77"/>
        <v>2022</v>
      </c>
    </row>
    <row r="2234" spans="1:9" x14ac:dyDescent="0.3">
      <c r="A2234" s="1">
        <v>44641</v>
      </c>
      <c r="B2234" t="s">
        <v>48</v>
      </c>
      <c r="G2234">
        <v>1830</v>
      </c>
      <c r="H2234">
        <f t="shared" si="76"/>
        <v>3</v>
      </c>
      <c r="I2234">
        <f t="shared" si="77"/>
        <v>2022</v>
      </c>
    </row>
    <row r="2235" spans="1:9" x14ac:dyDescent="0.3">
      <c r="A2235" s="1">
        <v>44641</v>
      </c>
      <c r="B2235" t="s">
        <v>48</v>
      </c>
      <c r="C2235" t="s">
        <v>94</v>
      </c>
      <c r="D2235" t="s">
        <v>180</v>
      </c>
      <c r="E2235" t="s">
        <v>411</v>
      </c>
      <c r="F2235">
        <v>1830</v>
      </c>
      <c r="H2235">
        <f t="shared" si="76"/>
        <v>3</v>
      </c>
      <c r="I2235">
        <f t="shared" si="77"/>
        <v>2022</v>
      </c>
    </row>
    <row r="2236" spans="1:9" x14ac:dyDescent="0.3">
      <c r="A2236" s="1">
        <v>44642</v>
      </c>
      <c r="B2236" t="s">
        <v>234</v>
      </c>
      <c r="G2236">
        <v>24630</v>
      </c>
      <c r="H2236">
        <f t="shared" si="76"/>
        <v>3</v>
      </c>
      <c r="I2236">
        <f t="shared" si="77"/>
        <v>2022</v>
      </c>
    </row>
    <row r="2237" spans="1:9" x14ac:dyDescent="0.3">
      <c r="A2237" s="1">
        <v>44642</v>
      </c>
      <c r="B2237" t="s">
        <v>234</v>
      </c>
      <c r="C2237" t="s">
        <v>94</v>
      </c>
      <c r="D2237" t="s">
        <v>313</v>
      </c>
      <c r="E2237" t="s">
        <v>264</v>
      </c>
      <c r="F2237">
        <v>10200</v>
      </c>
      <c r="H2237">
        <f t="shared" si="76"/>
        <v>3</v>
      </c>
      <c r="I2237">
        <f t="shared" si="77"/>
        <v>2022</v>
      </c>
    </row>
    <row r="2238" spans="1:9" x14ac:dyDescent="0.3">
      <c r="A2238" s="1">
        <v>44642</v>
      </c>
      <c r="B2238" t="s">
        <v>234</v>
      </c>
      <c r="C2238" t="s">
        <v>40</v>
      </c>
      <c r="D2238" t="s">
        <v>61</v>
      </c>
      <c r="E2238" t="s">
        <v>104</v>
      </c>
      <c r="F2238">
        <v>4950</v>
      </c>
      <c r="H2238">
        <f t="shared" si="76"/>
        <v>3</v>
      </c>
      <c r="I2238">
        <f t="shared" si="77"/>
        <v>2022</v>
      </c>
    </row>
    <row r="2239" spans="1:9" x14ac:dyDescent="0.3">
      <c r="A2239" s="1">
        <v>44642</v>
      </c>
      <c r="B2239" t="s">
        <v>234</v>
      </c>
      <c r="C2239" t="s">
        <v>204</v>
      </c>
      <c r="D2239" t="s">
        <v>12</v>
      </c>
      <c r="E2239" t="s">
        <v>240</v>
      </c>
      <c r="F2239">
        <v>820</v>
      </c>
      <c r="H2239">
        <f t="shared" si="76"/>
        <v>3</v>
      </c>
      <c r="I2239">
        <f t="shared" si="77"/>
        <v>2022</v>
      </c>
    </row>
    <row r="2240" spans="1:9" x14ac:dyDescent="0.3">
      <c r="A2240" s="1">
        <v>44642</v>
      </c>
      <c r="B2240" t="s">
        <v>234</v>
      </c>
      <c r="C2240" t="s">
        <v>108</v>
      </c>
      <c r="D2240" t="s">
        <v>12</v>
      </c>
      <c r="E2240" t="s">
        <v>119</v>
      </c>
      <c r="F2240">
        <v>600</v>
      </c>
      <c r="H2240">
        <f t="shared" si="76"/>
        <v>3</v>
      </c>
      <c r="I2240">
        <f t="shared" si="77"/>
        <v>2022</v>
      </c>
    </row>
    <row r="2241" spans="1:9" x14ac:dyDescent="0.3">
      <c r="A2241" s="1">
        <v>44642</v>
      </c>
      <c r="B2241" t="s">
        <v>234</v>
      </c>
      <c r="C2241" t="s">
        <v>134</v>
      </c>
      <c r="D2241" t="s">
        <v>59</v>
      </c>
      <c r="E2241" t="s">
        <v>99</v>
      </c>
      <c r="F2241">
        <v>4320</v>
      </c>
      <c r="H2241">
        <f t="shared" si="76"/>
        <v>3</v>
      </c>
      <c r="I2241">
        <f t="shared" si="77"/>
        <v>2022</v>
      </c>
    </row>
    <row r="2242" spans="1:9" x14ac:dyDescent="0.3">
      <c r="A2242" s="1">
        <v>44642</v>
      </c>
      <c r="B2242" t="s">
        <v>234</v>
      </c>
      <c r="C2242" t="s">
        <v>123</v>
      </c>
      <c r="D2242" t="s">
        <v>23</v>
      </c>
      <c r="E2242" t="s">
        <v>237</v>
      </c>
      <c r="F2242">
        <v>2370</v>
      </c>
      <c r="H2242">
        <f t="shared" si="76"/>
        <v>3</v>
      </c>
      <c r="I2242">
        <f t="shared" si="77"/>
        <v>2022</v>
      </c>
    </row>
    <row r="2243" spans="1:9" x14ac:dyDescent="0.3">
      <c r="A2243" s="1">
        <v>44642</v>
      </c>
      <c r="B2243" t="s">
        <v>234</v>
      </c>
      <c r="C2243" t="s">
        <v>221</v>
      </c>
      <c r="D2243" t="s">
        <v>12</v>
      </c>
      <c r="E2243" t="s">
        <v>129</v>
      </c>
      <c r="F2243">
        <v>1370</v>
      </c>
      <c r="H2243">
        <f t="shared" si="76"/>
        <v>3</v>
      </c>
      <c r="I2243">
        <f t="shared" si="77"/>
        <v>2022</v>
      </c>
    </row>
    <row r="2244" spans="1:9" x14ac:dyDescent="0.3">
      <c r="A2244" s="1">
        <v>44642</v>
      </c>
      <c r="B2244" t="s">
        <v>75</v>
      </c>
      <c r="G2244">
        <v>2650</v>
      </c>
      <c r="H2244">
        <f t="shared" si="76"/>
        <v>3</v>
      </c>
      <c r="I2244">
        <f t="shared" si="77"/>
        <v>2022</v>
      </c>
    </row>
    <row r="2245" spans="1:9" x14ac:dyDescent="0.3">
      <c r="A2245" s="1">
        <v>44642</v>
      </c>
      <c r="B2245" t="s">
        <v>75</v>
      </c>
      <c r="C2245" t="s">
        <v>98</v>
      </c>
      <c r="D2245" t="s">
        <v>25</v>
      </c>
      <c r="E2245" t="s">
        <v>26</v>
      </c>
      <c r="F2245">
        <v>2650</v>
      </c>
      <c r="H2245">
        <f t="shared" si="76"/>
        <v>3</v>
      </c>
      <c r="I2245">
        <f t="shared" si="77"/>
        <v>2022</v>
      </c>
    </row>
    <row r="2246" spans="1:9" x14ac:dyDescent="0.3">
      <c r="A2246" s="1">
        <v>44643</v>
      </c>
      <c r="B2246" t="s">
        <v>10</v>
      </c>
      <c r="G2246">
        <v>42600</v>
      </c>
      <c r="H2246">
        <f t="shared" si="76"/>
        <v>3</v>
      </c>
      <c r="I2246">
        <f t="shared" si="77"/>
        <v>2022</v>
      </c>
    </row>
    <row r="2247" spans="1:9" x14ac:dyDescent="0.3">
      <c r="A2247" s="1">
        <v>44643</v>
      </c>
      <c r="B2247" t="s">
        <v>10</v>
      </c>
      <c r="C2247" t="s">
        <v>40</v>
      </c>
      <c r="D2247" t="s">
        <v>65</v>
      </c>
      <c r="E2247" t="s">
        <v>90</v>
      </c>
      <c r="F2247">
        <v>32000</v>
      </c>
      <c r="H2247">
        <f t="shared" si="76"/>
        <v>3</v>
      </c>
      <c r="I2247">
        <f t="shared" si="77"/>
        <v>2022</v>
      </c>
    </row>
    <row r="2248" spans="1:9" x14ac:dyDescent="0.3">
      <c r="A2248" s="1">
        <v>44643</v>
      </c>
      <c r="B2248" t="s">
        <v>10</v>
      </c>
      <c r="C2248" t="s">
        <v>98</v>
      </c>
      <c r="D2248" t="s">
        <v>9</v>
      </c>
      <c r="E2248" t="s">
        <v>26</v>
      </c>
      <c r="F2248">
        <v>10600</v>
      </c>
      <c r="H2248">
        <f t="shared" si="76"/>
        <v>3</v>
      </c>
      <c r="I2248">
        <f t="shared" si="77"/>
        <v>2022</v>
      </c>
    </row>
    <row r="2249" spans="1:9" x14ac:dyDescent="0.3">
      <c r="A2249" s="1">
        <v>44643</v>
      </c>
      <c r="B2249" t="s">
        <v>8</v>
      </c>
      <c r="G2249">
        <v>32000</v>
      </c>
      <c r="H2249">
        <f t="shared" si="76"/>
        <v>3</v>
      </c>
      <c r="I2249">
        <f t="shared" si="77"/>
        <v>2022</v>
      </c>
    </row>
    <row r="2250" spans="1:9" x14ac:dyDescent="0.3">
      <c r="A2250" s="1">
        <v>44643</v>
      </c>
      <c r="B2250" t="s">
        <v>8</v>
      </c>
      <c r="C2250" t="s">
        <v>40</v>
      </c>
      <c r="D2250" t="s">
        <v>65</v>
      </c>
      <c r="E2250" t="s">
        <v>90</v>
      </c>
      <c r="F2250">
        <v>32000</v>
      </c>
      <c r="H2250">
        <f t="shared" si="76"/>
        <v>3</v>
      </c>
      <c r="I2250">
        <f t="shared" si="77"/>
        <v>2022</v>
      </c>
    </row>
    <row r="2251" spans="1:9" x14ac:dyDescent="0.3">
      <c r="A2251" s="1">
        <v>44643</v>
      </c>
      <c r="B2251" t="s">
        <v>3</v>
      </c>
      <c r="G2251">
        <v>9950</v>
      </c>
      <c r="H2251">
        <f t="shared" si="76"/>
        <v>3</v>
      </c>
      <c r="I2251">
        <f t="shared" si="77"/>
        <v>2022</v>
      </c>
    </row>
    <row r="2252" spans="1:9" x14ac:dyDescent="0.3">
      <c r="A2252" s="1">
        <v>44643</v>
      </c>
      <c r="B2252" t="s">
        <v>3</v>
      </c>
      <c r="C2252" t="s">
        <v>101</v>
      </c>
      <c r="D2252" t="s">
        <v>30</v>
      </c>
      <c r="E2252" t="s">
        <v>412</v>
      </c>
      <c r="F2252">
        <v>3450</v>
      </c>
      <c r="H2252">
        <f t="shared" si="76"/>
        <v>3</v>
      </c>
      <c r="I2252">
        <f t="shared" si="77"/>
        <v>2022</v>
      </c>
    </row>
    <row r="2253" spans="1:9" x14ac:dyDescent="0.3">
      <c r="A2253" s="1">
        <v>44643</v>
      </c>
      <c r="B2253" t="s">
        <v>3</v>
      </c>
      <c r="C2253" t="s">
        <v>40</v>
      </c>
      <c r="D2253" t="s">
        <v>9</v>
      </c>
      <c r="E2253" t="s">
        <v>60</v>
      </c>
      <c r="F2253">
        <v>6500</v>
      </c>
      <c r="H2253">
        <f t="shared" si="76"/>
        <v>3</v>
      </c>
      <c r="I2253">
        <f t="shared" si="77"/>
        <v>2022</v>
      </c>
    </row>
    <row r="2254" spans="1:9" x14ac:dyDescent="0.3">
      <c r="A2254" s="1">
        <v>44643</v>
      </c>
      <c r="B2254" t="s">
        <v>48</v>
      </c>
      <c r="G2254">
        <v>9600</v>
      </c>
      <c r="H2254">
        <f t="shared" ref="H2254:H2312" si="78">MONTH(A2254)</f>
        <v>3</v>
      </c>
      <c r="I2254">
        <f t="shared" ref="I2254:I2312" si="79">YEAR(A2254)</f>
        <v>2022</v>
      </c>
    </row>
    <row r="2255" spans="1:9" x14ac:dyDescent="0.3">
      <c r="A2255" s="1">
        <v>44643</v>
      </c>
      <c r="B2255" t="s">
        <v>48</v>
      </c>
      <c r="C2255" t="s">
        <v>40</v>
      </c>
      <c r="D2255" t="s">
        <v>39</v>
      </c>
      <c r="E2255" t="s">
        <v>90</v>
      </c>
      <c r="F2255">
        <v>9600</v>
      </c>
      <c r="H2255">
        <f t="shared" si="78"/>
        <v>3</v>
      </c>
      <c r="I2255">
        <f t="shared" si="79"/>
        <v>2022</v>
      </c>
    </row>
    <row r="2256" spans="1:9" x14ac:dyDescent="0.3">
      <c r="A2256" s="1">
        <v>44643</v>
      </c>
      <c r="B2256" t="s">
        <v>3</v>
      </c>
      <c r="G2256">
        <v>17500</v>
      </c>
      <c r="H2256">
        <f t="shared" si="78"/>
        <v>3</v>
      </c>
      <c r="I2256">
        <f t="shared" si="79"/>
        <v>2022</v>
      </c>
    </row>
    <row r="2257" spans="1:9" x14ac:dyDescent="0.3">
      <c r="A2257" s="1">
        <v>44643</v>
      </c>
      <c r="B2257" t="s">
        <v>3</v>
      </c>
      <c r="C2257" t="s">
        <v>40</v>
      </c>
      <c r="D2257" t="s">
        <v>39</v>
      </c>
      <c r="E2257" t="s">
        <v>104</v>
      </c>
      <c r="F2257">
        <v>9900</v>
      </c>
      <c r="H2257">
        <f t="shared" si="78"/>
        <v>3</v>
      </c>
      <c r="I2257">
        <f t="shared" si="79"/>
        <v>2022</v>
      </c>
    </row>
    <row r="2258" spans="1:9" x14ac:dyDescent="0.3">
      <c r="A2258" s="1">
        <v>44643</v>
      </c>
      <c r="B2258" t="s">
        <v>3</v>
      </c>
      <c r="C2258" t="s">
        <v>94</v>
      </c>
      <c r="D2258" t="s">
        <v>288</v>
      </c>
      <c r="E2258" t="s">
        <v>186</v>
      </c>
      <c r="F2258">
        <v>7600</v>
      </c>
      <c r="H2258">
        <f t="shared" si="78"/>
        <v>3</v>
      </c>
      <c r="I2258">
        <f t="shared" si="79"/>
        <v>2022</v>
      </c>
    </row>
    <row r="2259" spans="1:9" x14ac:dyDescent="0.3">
      <c r="A2259" s="1">
        <v>44645</v>
      </c>
      <c r="B2259" t="s">
        <v>85</v>
      </c>
      <c r="G2259">
        <v>2360</v>
      </c>
      <c r="H2259">
        <f t="shared" si="78"/>
        <v>3</v>
      </c>
      <c r="I2259">
        <f t="shared" si="79"/>
        <v>2022</v>
      </c>
    </row>
    <row r="2260" spans="1:9" x14ac:dyDescent="0.3">
      <c r="A2260" s="1">
        <v>44645</v>
      </c>
      <c r="B2260" t="s">
        <v>85</v>
      </c>
      <c r="C2260" t="s">
        <v>173</v>
      </c>
      <c r="D2260" t="s">
        <v>9</v>
      </c>
      <c r="E2260" t="s">
        <v>357</v>
      </c>
      <c r="F2260">
        <v>2360</v>
      </c>
      <c r="H2260">
        <f t="shared" si="78"/>
        <v>3</v>
      </c>
      <c r="I2260">
        <f t="shared" si="79"/>
        <v>2022</v>
      </c>
    </row>
    <row r="2261" spans="1:9" x14ac:dyDescent="0.3">
      <c r="A2261" s="1">
        <v>44645</v>
      </c>
      <c r="B2261" t="s">
        <v>200</v>
      </c>
      <c r="G2261">
        <v>6180</v>
      </c>
      <c r="H2261">
        <f t="shared" si="78"/>
        <v>3</v>
      </c>
      <c r="I2261">
        <f t="shared" si="79"/>
        <v>2022</v>
      </c>
    </row>
    <row r="2262" spans="1:9" x14ac:dyDescent="0.3">
      <c r="A2262" s="1">
        <v>44645</v>
      </c>
      <c r="B2262" t="s">
        <v>200</v>
      </c>
      <c r="C2262" t="s">
        <v>338</v>
      </c>
      <c r="D2262" t="s">
        <v>16</v>
      </c>
      <c r="E2262" t="s">
        <v>81</v>
      </c>
      <c r="F2262">
        <v>6180</v>
      </c>
      <c r="H2262">
        <f t="shared" si="78"/>
        <v>3</v>
      </c>
      <c r="I2262">
        <f t="shared" si="79"/>
        <v>2022</v>
      </c>
    </row>
    <row r="2263" spans="1:9" x14ac:dyDescent="0.3">
      <c r="A2263" s="1">
        <v>44645</v>
      </c>
      <c r="B2263" t="s">
        <v>27</v>
      </c>
      <c r="G2263">
        <v>36600</v>
      </c>
      <c r="H2263">
        <f t="shared" si="78"/>
        <v>3</v>
      </c>
      <c r="I2263">
        <f t="shared" si="79"/>
        <v>2022</v>
      </c>
    </row>
    <row r="2264" spans="1:9" x14ac:dyDescent="0.3">
      <c r="A2264" s="1">
        <v>44645</v>
      </c>
      <c r="B2264" t="s">
        <v>27</v>
      </c>
      <c r="C2264" t="s">
        <v>94</v>
      </c>
      <c r="D2264" t="s">
        <v>413</v>
      </c>
      <c r="E2264" t="s">
        <v>411</v>
      </c>
      <c r="F2264">
        <v>36600</v>
      </c>
      <c r="H2264">
        <f t="shared" si="78"/>
        <v>3</v>
      </c>
      <c r="I2264">
        <f t="shared" si="79"/>
        <v>2022</v>
      </c>
    </row>
    <row r="2265" spans="1:9" x14ac:dyDescent="0.3">
      <c r="A2265" s="1">
        <v>44645</v>
      </c>
      <c r="B2265" t="s">
        <v>75</v>
      </c>
      <c r="G2265">
        <v>25900</v>
      </c>
      <c r="H2265">
        <f t="shared" si="78"/>
        <v>3</v>
      </c>
      <c r="I2265">
        <f t="shared" si="79"/>
        <v>2022</v>
      </c>
    </row>
    <row r="2266" spans="1:9" x14ac:dyDescent="0.3">
      <c r="A2266" s="1">
        <v>44645</v>
      </c>
      <c r="B2266" t="s">
        <v>75</v>
      </c>
      <c r="C2266" t="s">
        <v>94</v>
      </c>
      <c r="D2266" t="s">
        <v>414</v>
      </c>
      <c r="E2266" t="s">
        <v>373</v>
      </c>
      <c r="F2266">
        <v>25900</v>
      </c>
      <c r="H2266">
        <f t="shared" si="78"/>
        <v>3</v>
      </c>
      <c r="I2266">
        <f t="shared" si="79"/>
        <v>2022</v>
      </c>
    </row>
    <row r="2267" spans="1:9" x14ac:dyDescent="0.3">
      <c r="A2267" s="1">
        <v>44645</v>
      </c>
      <c r="B2267" t="s">
        <v>48</v>
      </c>
      <c r="G2267">
        <v>3200</v>
      </c>
      <c r="H2267">
        <f t="shared" si="78"/>
        <v>3</v>
      </c>
      <c r="I2267">
        <f t="shared" si="79"/>
        <v>2022</v>
      </c>
    </row>
    <row r="2268" spans="1:9" x14ac:dyDescent="0.3">
      <c r="A2268" s="1">
        <v>44645</v>
      </c>
      <c r="B2268" t="s">
        <v>48</v>
      </c>
      <c r="C2268" t="s">
        <v>40</v>
      </c>
      <c r="D2268" t="s">
        <v>37</v>
      </c>
      <c r="E2268" t="s">
        <v>90</v>
      </c>
      <c r="F2268">
        <v>3200</v>
      </c>
      <c r="H2268">
        <f t="shared" si="78"/>
        <v>3</v>
      </c>
      <c r="I2268">
        <f t="shared" si="79"/>
        <v>2022</v>
      </c>
    </row>
    <row r="2269" spans="1:9" x14ac:dyDescent="0.3">
      <c r="A2269" s="1">
        <v>44645</v>
      </c>
      <c r="B2269" t="s">
        <v>51</v>
      </c>
      <c r="G2269">
        <v>1770</v>
      </c>
      <c r="H2269">
        <f t="shared" si="78"/>
        <v>3</v>
      </c>
      <c r="I2269">
        <f t="shared" si="79"/>
        <v>2022</v>
      </c>
    </row>
    <row r="2270" spans="1:9" x14ac:dyDescent="0.3">
      <c r="A2270" s="1">
        <v>44645</v>
      </c>
      <c r="B2270" t="s">
        <v>51</v>
      </c>
      <c r="C2270" t="s">
        <v>359</v>
      </c>
      <c r="D2270" t="s">
        <v>23</v>
      </c>
      <c r="E2270" t="s">
        <v>77</v>
      </c>
      <c r="F2270">
        <v>1770</v>
      </c>
      <c r="H2270">
        <f t="shared" si="78"/>
        <v>3</v>
      </c>
      <c r="I2270">
        <f t="shared" si="79"/>
        <v>2022</v>
      </c>
    </row>
    <row r="2271" spans="1:9" x14ac:dyDescent="0.3">
      <c r="A2271" s="1">
        <v>44646</v>
      </c>
      <c r="B2271" t="s">
        <v>48</v>
      </c>
      <c r="G2271">
        <v>3200</v>
      </c>
      <c r="H2271">
        <f t="shared" si="78"/>
        <v>3</v>
      </c>
      <c r="I2271">
        <f t="shared" si="79"/>
        <v>2022</v>
      </c>
    </row>
    <row r="2272" spans="1:9" x14ac:dyDescent="0.3">
      <c r="A2272" s="1">
        <v>44646</v>
      </c>
      <c r="B2272" t="s">
        <v>48</v>
      </c>
      <c r="C2272" t="s">
        <v>40</v>
      </c>
      <c r="D2272" t="s">
        <v>37</v>
      </c>
      <c r="E2272" t="s">
        <v>90</v>
      </c>
      <c r="F2272">
        <v>3200</v>
      </c>
      <c r="H2272">
        <f t="shared" si="78"/>
        <v>3</v>
      </c>
      <c r="I2272">
        <f t="shared" si="79"/>
        <v>2022</v>
      </c>
    </row>
    <row r="2273" spans="1:9" x14ac:dyDescent="0.3">
      <c r="A2273" s="1">
        <v>44646</v>
      </c>
      <c r="B2273" t="s">
        <v>48</v>
      </c>
      <c r="G2273">
        <v>3200</v>
      </c>
      <c r="H2273">
        <f t="shared" si="78"/>
        <v>3</v>
      </c>
      <c r="I2273">
        <f t="shared" si="79"/>
        <v>2022</v>
      </c>
    </row>
    <row r="2274" spans="1:9" x14ac:dyDescent="0.3">
      <c r="A2274" s="1">
        <v>44646</v>
      </c>
      <c r="B2274" t="s">
        <v>48</v>
      </c>
      <c r="C2274" t="s">
        <v>40</v>
      </c>
      <c r="D2274" t="s">
        <v>37</v>
      </c>
      <c r="E2274" t="s">
        <v>90</v>
      </c>
      <c r="F2274">
        <v>3200</v>
      </c>
      <c r="H2274">
        <f t="shared" si="78"/>
        <v>3</v>
      </c>
      <c r="I2274">
        <f t="shared" si="79"/>
        <v>2022</v>
      </c>
    </row>
    <row r="2275" spans="1:9" x14ac:dyDescent="0.3">
      <c r="A2275" s="1">
        <v>44647</v>
      </c>
      <c r="B2275" t="s">
        <v>48</v>
      </c>
      <c r="G2275">
        <v>3200</v>
      </c>
      <c r="H2275">
        <f t="shared" si="78"/>
        <v>3</v>
      </c>
      <c r="I2275">
        <f t="shared" si="79"/>
        <v>2022</v>
      </c>
    </row>
    <row r="2276" spans="1:9" x14ac:dyDescent="0.3">
      <c r="A2276" s="1">
        <v>44647</v>
      </c>
      <c r="B2276" t="s">
        <v>48</v>
      </c>
      <c r="C2276" t="s">
        <v>40</v>
      </c>
      <c r="D2276" t="s">
        <v>37</v>
      </c>
      <c r="E2276" t="s">
        <v>90</v>
      </c>
      <c r="F2276">
        <v>3200</v>
      </c>
      <c r="H2276">
        <f t="shared" si="78"/>
        <v>3</v>
      </c>
      <c r="I2276">
        <f t="shared" si="79"/>
        <v>2022</v>
      </c>
    </row>
    <row r="2277" spans="1:9" x14ac:dyDescent="0.3">
      <c r="A2277" s="1">
        <v>44647</v>
      </c>
      <c r="B2277" t="s">
        <v>3</v>
      </c>
      <c r="G2277">
        <v>3005</v>
      </c>
      <c r="H2277">
        <f t="shared" si="78"/>
        <v>3</v>
      </c>
      <c r="I2277">
        <f t="shared" si="79"/>
        <v>2022</v>
      </c>
    </row>
    <row r="2278" spans="1:9" x14ac:dyDescent="0.3">
      <c r="A2278" s="1">
        <v>44647</v>
      </c>
      <c r="B2278" t="s">
        <v>3</v>
      </c>
      <c r="C2278" t="s">
        <v>40</v>
      </c>
      <c r="D2278" t="s">
        <v>5</v>
      </c>
      <c r="E2278" t="s">
        <v>117</v>
      </c>
      <c r="F2278">
        <v>335</v>
      </c>
      <c r="H2278">
        <f t="shared" si="78"/>
        <v>3</v>
      </c>
      <c r="I2278">
        <f t="shared" si="79"/>
        <v>2022</v>
      </c>
    </row>
    <row r="2279" spans="1:9" x14ac:dyDescent="0.3">
      <c r="A2279" s="1">
        <v>44647</v>
      </c>
      <c r="B2279" t="s">
        <v>3</v>
      </c>
      <c r="C2279" t="s">
        <v>94</v>
      </c>
      <c r="D2279" t="s">
        <v>137</v>
      </c>
      <c r="E2279" t="s">
        <v>186</v>
      </c>
      <c r="F2279">
        <v>380</v>
      </c>
      <c r="H2279">
        <f t="shared" si="78"/>
        <v>3</v>
      </c>
      <c r="I2279">
        <f t="shared" si="79"/>
        <v>2022</v>
      </c>
    </row>
    <row r="2280" spans="1:9" x14ac:dyDescent="0.3">
      <c r="A2280" s="1">
        <v>44647</v>
      </c>
      <c r="B2280" t="s">
        <v>3</v>
      </c>
      <c r="C2280" t="s">
        <v>89</v>
      </c>
      <c r="D2280" t="s">
        <v>23</v>
      </c>
      <c r="E2280" t="s">
        <v>104</v>
      </c>
      <c r="F2280">
        <v>990</v>
      </c>
      <c r="H2280">
        <f t="shared" si="78"/>
        <v>3</v>
      </c>
      <c r="I2280">
        <f t="shared" si="79"/>
        <v>2022</v>
      </c>
    </row>
    <row r="2281" spans="1:9" x14ac:dyDescent="0.3">
      <c r="A2281" s="1">
        <v>44647</v>
      </c>
      <c r="B2281" t="s">
        <v>3</v>
      </c>
      <c r="C2281" t="s">
        <v>133</v>
      </c>
      <c r="D2281" t="s">
        <v>12</v>
      </c>
      <c r="E2281" t="s">
        <v>69</v>
      </c>
      <c r="F2281">
        <v>1100</v>
      </c>
      <c r="H2281">
        <f t="shared" si="78"/>
        <v>3</v>
      </c>
      <c r="I2281">
        <f t="shared" si="79"/>
        <v>2022</v>
      </c>
    </row>
    <row r="2282" spans="1:9" x14ac:dyDescent="0.3">
      <c r="A2282" s="1">
        <v>44647</v>
      </c>
      <c r="B2282" t="s">
        <v>3</v>
      </c>
      <c r="C2282" t="s">
        <v>40</v>
      </c>
      <c r="D2282" t="s">
        <v>5</v>
      </c>
      <c r="E2282" t="s">
        <v>118</v>
      </c>
      <c r="F2282">
        <v>340</v>
      </c>
      <c r="H2282">
        <f t="shared" si="78"/>
        <v>3</v>
      </c>
      <c r="I2282">
        <f t="shared" si="79"/>
        <v>2022</v>
      </c>
    </row>
    <row r="2283" spans="1:9" x14ac:dyDescent="0.3">
      <c r="A2283" s="1">
        <v>44647</v>
      </c>
      <c r="B2283" t="s">
        <v>24</v>
      </c>
      <c r="G2283">
        <v>-140</v>
      </c>
      <c r="H2283">
        <f t="shared" si="78"/>
        <v>3</v>
      </c>
      <c r="I2283">
        <f t="shared" si="79"/>
        <v>2022</v>
      </c>
    </row>
    <row r="2284" spans="1:9" x14ac:dyDescent="0.3">
      <c r="A2284" s="1">
        <v>44647</v>
      </c>
      <c r="B2284" t="s">
        <v>3</v>
      </c>
      <c r="G2284">
        <v>9540</v>
      </c>
      <c r="H2284">
        <f t="shared" si="78"/>
        <v>3</v>
      </c>
      <c r="I2284">
        <f t="shared" si="79"/>
        <v>2022</v>
      </c>
    </row>
    <row r="2285" spans="1:9" x14ac:dyDescent="0.3">
      <c r="A2285" s="1">
        <v>44647</v>
      </c>
      <c r="B2285" t="s">
        <v>3</v>
      </c>
      <c r="C2285" t="s">
        <v>40</v>
      </c>
      <c r="D2285" t="s">
        <v>37</v>
      </c>
      <c r="E2285" t="s">
        <v>90</v>
      </c>
      <c r="F2285">
        <v>3200</v>
      </c>
      <c r="H2285">
        <f t="shared" si="78"/>
        <v>3</v>
      </c>
      <c r="I2285">
        <f t="shared" si="79"/>
        <v>2022</v>
      </c>
    </row>
    <row r="2286" spans="1:9" x14ac:dyDescent="0.3">
      <c r="A2286" s="1">
        <v>44647</v>
      </c>
      <c r="B2286" t="s">
        <v>3</v>
      </c>
      <c r="C2286" t="s">
        <v>94</v>
      </c>
      <c r="D2286" t="s">
        <v>131</v>
      </c>
      <c r="E2286" t="s">
        <v>186</v>
      </c>
      <c r="F2286">
        <v>190</v>
      </c>
      <c r="H2286">
        <f t="shared" si="78"/>
        <v>3</v>
      </c>
      <c r="I2286">
        <f t="shared" si="79"/>
        <v>2022</v>
      </c>
    </row>
    <row r="2287" spans="1:9" x14ac:dyDescent="0.3">
      <c r="A2287" s="1">
        <v>44647</v>
      </c>
      <c r="B2287" t="s">
        <v>3</v>
      </c>
      <c r="C2287" t="s">
        <v>40</v>
      </c>
      <c r="D2287" t="s">
        <v>30</v>
      </c>
      <c r="E2287" t="s">
        <v>415</v>
      </c>
      <c r="F2287">
        <v>2270</v>
      </c>
      <c r="H2287">
        <f t="shared" si="78"/>
        <v>3</v>
      </c>
      <c r="I2287">
        <f t="shared" si="79"/>
        <v>2022</v>
      </c>
    </row>
    <row r="2288" spans="1:9" x14ac:dyDescent="0.3">
      <c r="A2288" s="1">
        <v>44647</v>
      </c>
      <c r="B2288" t="s">
        <v>3</v>
      </c>
      <c r="C2288" t="s">
        <v>94</v>
      </c>
      <c r="D2288" t="s">
        <v>137</v>
      </c>
      <c r="E2288" t="s">
        <v>186</v>
      </c>
      <c r="F2288">
        <v>380</v>
      </c>
      <c r="H2288">
        <f t="shared" si="78"/>
        <v>3</v>
      </c>
      <c r="I2288">
        <f t="shared" si="79"/>
        <v>2022</v>
      </c>
    </row>
    <row r="2289" spans="1:9" x14ac:dyDescent="0.3">
      <c r="A2289" s="1">
        <v>44647</v>
      </c>
      <c r="B2289" t="s">
        <v>3</v>
      </c>
      <c r="C2289" t="s">
        <v>94</v>
      </c>
      <c r="D2289" t="s">
        <v>174</v>
      </c>
      <c r="E2289" t="s">
        <v>132</v>
      </c>
      <c r="F2289">
        <v>1000</v>
      </c>
      <c r="H2289">
        <f t="shared" si="78"/>
        <v>3</v>
      </c>
      <c r="I2289">
        <f t="shared" si="79"/>
        <v>2022</v>
      </c>
    </row>
    <row r="2290" spans="1:9" x14ac:dyDescent="0.3">
      <c r="A2290" s="1">
        <v>44647</v>
      </c>
      <c r="B2290" t="s">
        <v>3</v>
      </c>
      <c r="C2290" t="s">
        <v>40</v>
      </c>
      <c r="D2290" t="s">
        <v>23</v>
      </c>
      <c r="E2290" t="s">
        <v>185</v>
      </c>
      <c r="F2290">
        <v>1000</v>
      </c>
      <c r="H2290">
        <f t="shared" si="78"/>
        <v>3</v>
      </c>
      <c r="I2290">
        <f t="shared" si="79"/>
        <v>2022</v>
      </c>
    </row>
    <row r="2291" spans="1:9" x14ac:dyDescent="0.3">
      <c r="A2291" s="1">
        <v>44647</v>
      </c>
      <c r="B2291" t="s">
        <v>3</v>
      </c>
      <c r="C2291" t="s">
        <v>98</v>
      </c>
      <c r="D2291" t="s">
        <v>5</v>
      </c>
      <c r="E2291" t="s">
        <v>156</v>
      </c>
      <c r="F2291">
        <v>500</v>
      </c>
      <c r="H2291">
        <f t="shared" si="78"/>
        <v>3</v>
      </c>
      <c r="I2291">
        <f t="shared" si="79"/>
        <v>2022</v>
      </c>
    </row>
    <row r="2292" spans="1:9" x14ac:dyDescent="0.3">
      <c r="A2292" s="1">
        <v>44647</v>
      </c>
      <c r="B2292" t="s">
        <v>3</v>
      </c>
      <c r="C2292" t="s">
        <v>133</v>
      </c>
      <c r="D2292" t="s">
        <v>5</v>
      </c>
      <c r="E2292" t="s">
        <v>156</v>
      </c>
      <c r="F2292">
        <v>500</v>
      </c>
      <c r="H2292">
        <f t="shared" si="78"/>
        <v>3</v>
      </c>
      <c r="I2292">
        <f t="shared" si="79"/>
        <v>2022</v>
      </c>
    </row>
    <row r="2293" spans="1:9" x14ac:dyDescent="0.3">
      <c r="A2293" s="1">
        <v>44647</v>
      </c>
      <c r="B2293" t="s">
        <v>3</v>
      </c>
      <c r="C2293" t="s">
        <v>148</v>
      </c>
      <c r="D2293" t="s">
        <v>23</v>
      </c>
      <c r="E2293" t="s">
        <v>296</v>
      </c>
      <c r="F2293">
        <v>500</v>
      </c>
      <c r="H2293">
        <f t="shared" si="78"/>
        <v>3</v>
      </c>
      <c r="I2293">
        <f t="shared" si="79"/>
        <v>2022</v>
      </c>
    </row>
    <row r="2294" spans="1:9" x14ac:dyDescent="0.3">
      <c r="A2294" s="1">
        <v>44647</v>
      </c>
      <c r="B2294" t="s">
        <v>8</v>
      </c>
      <c r="G2294">
        <v>590</v>
      </c>
      <c r="H2294">
        <f t="shared" si="78"/>
        <v>3</v>
      </c>
      <c r="I2294">
        <f t="shared" si="79"/>
        <v>2022</v>
      </c>
    </row>
    <row r="2295" spans="1:9" x14ac:dyDescent="0.3">
      <c r="A2295" s="1">
        <v>44647</v>
      </c>
      <c r="B2295" t="s">
        <v>8</v>
      </c>
      <c r="C2295" t="s">
        <v>359</v>
      </c>
      <c r="D2295" t="s">
        <v>5</v>
      </c>
      <c r="E2295" t="s">
        <v>77</v>
      </c>
      <c r="F2295">
        <v>590</v>
      </c>
      <c r="H2295">
        <f t="shared" si="78"/>
        <v>3</v>
      </c>
      <c r="I2295">
        <f t="shared" si="79"/>
        <v>2022</v>
      </c>
    </row>
    <row r="2296" spans="1:9" x14ac:dyDescent="0.3">
      <c r="A2296" s="1">
        <v>44647</v>
      </c>
      <c r="B2296" t="s">
        <v>3</v>
      </c>
      <c r="G2296">
        <v>1190</v>
      </c>
      <c r="H2296">
        <f t="shared" si="78"/>
        <v>3</v>
      </c>
      <c r="I2296">
        <f t="shared" si="79"/>
        <v>2022</v>
      </c>
    </row>
    <row r="2297" spans="1:9" x14ac:dyDescent="0.3">
      <c r="A2297" s="1">
        <v>44647</v>
      </c>
      <c r="B2297" t="s">
        <v>3</v>
      </c>
      <c r="C2297" t="s">
        <v>359</v>
      </c>
      <c r="D2297" t="s">
        <v>12</v>
      </c>
      <c r="E2297" t="s">
        <v>172</v>
      </c>
      <c r="F2297">
        <v>1190</v>
      </c>
      <c r="H2297">
        <f t="shared" si="78"/>
        <v>3</v>
      </c>
      <c r="I2297">
        <f t="shared" si="79"/>
        <v>2022</v>
      </c>
    </row>
    <row r="2298" spans="1:9" x14ac:dyDescent="0.3">
      <c r="A2298" s="1">
        <v>44648</v>
      </c>
      <c r="B2298" t="s">
        <v>97</v>
      </c>
      <c r="G2298">
        <v>14040</v>
      </c>
      <c r="H2298">
        <f t="shared" si="78"/>
        <v>3</v>
      </c>
      <c r="I2298">
        <f t="shared" si="79"/>
        <v>2022</v>
      </c>
    </row>
    <row r="2299" spans="1:9" x14ac:dyDescent="0.3">
      <c r="A2299" s="1">
        <v>44648</v>
      </c>
      <c r="B2299" t="s">
        <v>97</v>
      </c>
      <c r="C2299" t="s">
        <v>98</v>
      </c>
      <c r="D2299" t="s">
        <v>37</v>
      </c>
      <c r="E2299" t="s">
        <v>69</v>
      </c>
      <c r="F2299">
        <v>5500</v>
      </c>
      <c r="H2299">
        <f t="shared" si="78"/>
        <v>3</v>
      </c>
      <c r="I2299">
        <f t="shared" si="79"/>
        <v>2022</v>
      </c>
    </row>
    <row r="2300" spans="1:9" x14ac:dyDescent="0.3">
      <c r="A2300" s="1">
        <v>44648</v>
      </c>
      <c r="B2300" t="s">
        <v>97</v>
      </c>
      <c r="C2300" t="s">
        <v>148</v>
      </c>
      <c r="D2300" t="s">
        <v>416</v>
      </c>
      <c r="E2300" t="s">
        <v>417</v>
      </c>
      <c r="F2300">
        <v>3150</v>
      </c>
      <c r="H2300">
        <f t="shared" si="78"/>
        <v>3</v>
      </c>
      <c r="I2300">
        <f t="shared" si="79"/>
        <v>2022</v>
      </c>
    </row>
    <row r="2301" spans="1:9" x14ac:dyDescent="0.3">
      <c r="A2301" s="1">
        <v>44648</v>
      </c>
      <c r="B2301" t="s">
        <v>97</v>
      </c>
      <c r="C2301" t="s">
        <v>134</v>
      </c>
      <c r="D2301" t="s">
        <v>59</v>
      </c>
      <c r="E2301" t="s">
        <v>99</v>
      </c>
      <c r="F2301">
        <v>4320</v>
      </c>
      <c r="H2301">
        <f t="shared" si="78"/>
        <v>3</v>
      </c>
      <c r="I2301">
        <f t="shared" si="79"/>
        <v>2022</v>
      </c>
    </row>
    <row r="2302" spans="1:9" x14ac:dyDescent="0.3">
      <c r="A2302" s="1">
        <v>44648</v>
      </c>
      <c r="B2302" t="s">
        <v>97</v>
      </c>
      <c r="C2302" t="s">
        <v>252</v>
      </c>
      <c r="D2302" t="s">
        <v>5</v>
      </c>
      <c r="E2302" t="s">
        <v>205</v>
      </c>
      <c r="F2302">
        <v>750</v>
      </c>
      <c r="H2302">
        <f t="shared" si="78"/>
        <v>3</v>
      </c>
      <c r="I2302">
        <f t="shared" si="79"/>
        <v>2022</v>
      </c>
    </row>
    <row r="2303" spans="1:9" x14ac:dyDescent="0.3">
      <c r="A2303" s="1">
        <v>44648</v>
      </c>
      <c r="B2303" t="s">
        <v>97</v>
      </c>
      <c r="C2303" t="s">
        <v>389</v>
      </c>
      <c r="D2303" t="s">
        <v>5</v>
      </c>
      <c r="E2303" t="s">
        <v>90</v>
      </c>
      <c r="F2303">
        <v>320</v>
      </c>
      <c r="H2303">
        <f t="shared" si="78"/>
        <v>3</v>
      </c>
      <c r="I2303">
        <f t="shared" si="79"/>
        <v>2022</v>
      </c>
    </row>
    <row r="2304" spans="1:9" x14ac:dyDescent="0.3">
      <c r="A2304" s="1">
        <v>44648</v>
      </c>
      <c r="B2304" t="s">
        <v>3</v>
      </c>
      <c r="G2304">
        <v>8920</v>
      </c>
      <c r="H2304">
        <f t="shared" si="78"/>
        <v>3</v>
      </c>
      <c r="I2304">
        <f t="shared" si="79"/>
        <v>2022</v>
      </c>
    </row>
    <row r="2305" spans="1:9" x14ac:dyDescent="0.3">
      <c r="A2305" s="1">
        <v>44648</v>
      </c>
      <c r="B2305" t="s">
        <v>3</v>
      </c>
      <c r="C2305" t="s">
        <v>40</v>
      </c>
      <c r="D2305" t="s">
        <v>37</v>
      </c>
      <c r="E2305" t="s">
        <v>41</v>
      </c>
      <c r="F2305">
        <v>3280</v>
      </c>
      <c r="H2305">
        <f t="shared" si="78"/>
        <v>3</v>
      </c>
      <c r="I2305">
        <f t="shared" si="79"/>
        <v>2022</v>
      </c>
    </row>
    <row r="2306" spans="1:9" x14ac:dyDescent="0.3">
      <c r="A2306" s="1">
        <v>44648</v>
      </c>
      <c r="B2306" t="s">
        <v>3</v>
      </c>
      <c r="C2306" t="s">
        <v>94</v>
      </c>
      <c r="D2306" t="s">
        <v>244</v>
      </c>
      <c r="E2306" t="s">
        <v>290</v>
      </c>
      <c r="F2306">
        <v>5640</v>
      </c>
      <c r="H2306">
        <f t="shared" si="78"/>
        <v>3</v>
      </c>
      <c r="I2306">
        <f t="shared" si="79"/>
        <v>2022</v>
      </c>
    </row>
    <row r="2307" spans="1:9" x14ac:dyDescent="0.3">
      <c r="A2307" s="1">
        <v>44648</v>
      </c>
      <c r="B2307" t="s">
        <v>248</v>
      </c>
      <c r="G2307">
        <v>7050</v>
      </c>
      <c r="H2307">
        <f t="shared" si="78"/>
        <v>3</v>
      </c>
      <c r="I2307">
        <f t="shared" si="79"/>
        <v>2022</v>
      </c>
    </row>
    <row r="2308" spans="1:9" x14ac:dyDescent="0.3">
      <c r="A2308" s="1">
        <v>44648</v>
      </c>
      <c r="B2308" t="s">
        <v>248</v>
      </c>
      <c r="C2308" t="s">
        <v>40</v>
      </c>
      <c r="D2308" t="s">
        <v>37</v>
      </c>
      <c r="E2308" t="s">
        <v>60</v>
      </c>
      <c r="F2308">
        <v>3250</v>
      </c>
      <c r="H2308">
        <f t="shared" si="78"/>
        <v>3</v>
      </c>
      <c r="I2308">
        <f t="shared" si="79"/>
        <v>2022</v>
      </c>
    </row>
    <row r="2309" spans="1:9" x14ac:dyDescent="0.3">
      <c r="A2309" s="1">
        <v>44648</v>
      </c>
      <c r="B2309" t="s">
        <v>248</v>
      </c>
      <c r="C2309" t="s">
        <v>94</v>
      </c>
      <c r="D2309" t="s">
        <v>251</v>
      </c>
      <c r="E2309" t="s">
        <v>186</v>
      </c>
      <c r="F2309">
        <v>3800</v>
      </c>
      <c r="H2309">
        <f t="shared" si="78"/>
        <v>3</v>
      </c>
      <c r="I2309">
        <f t="shared" si="79"/>
        <v>2022</v>
      </c>
    </row>
    <row r="2310" spans="1:9" x14ac:dyDescent="0.3">
      <c r="A2310" s="1">
        <v>44648</v>
      </c>
      <c r="B2310" t="s">
        <v>3</v>
      </c>
      <c r="G2310">
        <v>8100</v>
      </c>
      <c r="H2310">
        <f t="shared" si="78"/>
        <v>3</v>
      </c>
      <c r="I2310">
        <f t="shared" si="79"/>
        <v>2022</v>
      </c>
    </row>
    <row r="2311" spans="1:9" x14ac:dyDescent="0.3">
      <c r="A2311" s="1">
        <v>44648</v>
      </c>
      <c r="B2311" t="s">
        <v>3</v>
      </c>
      <c r="C2311" t="s">
        <v>101</v>
      </c>
      <c r="D2311" t="s">
        <v>5</v>
      </c>
      <c r="E2311" t="s">
        <v>156</v>
      </c>
      <c r="F2311">
        <v>500</v>
      </c>
      <c r="H2311">
        <f t="shared" si="78"/>
        <v>3</v>
      </c>
      <c r="I2311">
        <f t="shared" si="79"/>
        <v>2022</v>
      </c>
    </row>
    <row r="2312" spans="1:9" x14ac:dyDescent="0.3">
      <c r="A2312" s="1">
        <v>44648</v>
      </c>
      <c r="B2312" t="s">
        <v>3</v>
      </c>
      <c r="C2312" t="s">
        <v>94</v>
      </c>
      <c r="D2312" t="s">
        <v>288</v>
      </c>
      <c r="E2312" t="s">
        <v>186</v>
      </c>
      <c r="F2312">
        <v>7600</v>
      </c>
      <c r="H2312">
        <f t="shared" si="78"/>
        <v>3</v>
      </c>
      <c r="I2312">
        <f t="shared" si="79"/>
        <v>2022</v>
      </c>
    </row>
    <row r="2313" spans="1:9" x14ac:dyDescent="0.3">
      <c r="A2313" s="1">
        <v>44648</v>
      </c>
      <c r="B2313" t="s">
        <v>48</v>
      </c>
      <c r="G2313">
        <v>9600</v>
      </c>
      <c r="H2313">
        <f t="shared" ref="H2313:H2371" si="80">MONTH(A2313)</f>
        <v>3</v>
      </c>
      <c r="I2313">
        <f t="shared" ref="I2313:I2372" si="81">YEAR(A2313)</f>
        <v>2022</v>
      </c>
    </row>
    <row r="2314" spans="1:9" x14ac:dyDescent="0.3">
      <c r="A2314" s="1">
        <v>44648</v>
      </c>
      <c r="B2314" t="s">
        <v>48</v>
      </c>
      <c r="C2314" t="s">
        <v>40</v>
      </c>
      <c r="D2314" t="s">
        <v>39</v>
      </c>
      <c r="E2314" t="s">
        <v>90</v>
      </c>
      <c r="F2314">
        <v>9600</v>
      </c>
      <c r="H2314">
        <f t="shared" si="80"/>
        <v>3</v>
      </c>
      <c r="I2314">
        <f t="shared" si="81"/>
        <v>2022</v>
      </c>
    </row>
    <row r="2315" spans="1:9" x14ac:dyDescent="0.3">
      <c r="A2315" s="1">
        <v>44648</v>
      </c>
      <c r="B2315" t="s">
        <v>50</v>
      </c>
      <c r="G2315">
        <v>2950</v>
      </c>
      <c r="H2315">
        <f t="shared" si="80"/>
        <v>3</v>
      </c>
      <c r="I2315">
        <f t="shared" si="81"/>
        <v>2022</v>
      </c>
    </row>
    <row r="2316" spans="1:9" x14ac:dyDescent="0.3">
      <c r="A2316" s="1">
        <v>44648</v>
      </c>
      <c r="B2316" t="s">
        <v>50</v>
      </c>
      <c r="C2316" t="s">
        <v>359</v>
      </c>
      <c r="D2316" t="s">
        <v>25</v>
      </c>
      <c r="E2316" t="s">
        <v>77</v>
      </c>
      <c r="F2316">
        <v>2950</v>
      </c>
      <c r="H2316">
        <f t="shared" si="80"/>
        <v>3</v>
      </c>
      <c r="I2316">
        <f t="shared" si="81"/>
        <v>2022</v>
      </c>
    </row>
    <row r="2317" spans="1:9" x14ac:dyDescent="0.3">
      <c r="A2317" s="1">
        <v>44648</v>
      </c>
      <c r="B2317" t="s">
        <v>8</v>
      </c>
      <c r="G2317">
        <v>5900</v>
      </c>
      <c r="H2317">
        <f t="shared" si="80"/>
        <v>3</v>
      </c>
      <c r="I2317">
        <f t="shared" si="81"/>
        <v>2022</v>
      </c>
    </row>
    <row r="2318" spans="1:9" x14ac:dyDescent="0.3">
      <c r="A2318" s="1">
        <v>44648</v>
      </c>
      <c r="B2318" t="s">
        <v>8</v>
      </c>
      <c r="C2318" t="s">
        <v>359</v>
      </c>
      <c r="D2318" t="s">
        <v>37</v>
      </c>
      <c r="E2318" t="s">
        <v>77</v>
      </c>
      <c r="F2318">
        <v>5900</v>
      </c>
      <c r="H2318">
        <f t="shared" si="80"/>
        <v>3</v>
      </c>
      <c r="I2318">
        <f t="shared" si="81"/>
        <v>2022</v>
      </c>
    </row>
    <row r="2319" spans="1:9" x14ac:dyDescent="0.3">
      <c r="A2319" s="1">
        <v>44648</v>
      </c>
      <c r="B2319" t="s">
        <v>8</v>
      </c>
      <c r="G2319">
        <v>25900</v>
      </c>
      <c r="H2319">
        <f t="shared" si="80"/>
        <v>3</v>
      </c>
      <c r="I2319">
        <f t="shared" si="81"/>
        <v>2022</v>
      </c>
    </row>
    <row r="2320" spans="1:9" x14ac:dyDescent="0.3">
      <c r="A2320" s="1">
        <v>44648</v>
      </c>
      <c r="B2320" t="s">
        <v>8</v>
      </c>
      <c r="C2320" t="s">
        <v>94</v>
      </c>
      <c r="D2320" t="s">
        <v>414</v>
      </c>
      <c r="E2320" t="s">
        <v>373</v>
      </c>
      <c r="F2320">
        <v>25900</v>
      </c>
      <c r="H2320">
        <f t="shared" si="80"/>
        <v>3</v>
      </c>
      <c r="I2320">
        <f t="shared" si="81"/>
        <v>2022</v>
      </c>
    </row>
    <row r="2321" spans="1:9" x14ac:dyDescent="0.3">
      <c r="A2321" s="1">
        <v>44648</v>
      </c>
      <c r="B2321" t="s">
        <v>45</v>
      </c>
      <c r="G2321">
        <v>37000</v>
      </c>
      <c r="H2321">
        <f t="shared" si="80"/>
        <v>3</v>
      </c>
      <c r="I2321">
        <f t="shared" si="81"/>
        <v>2022</v>
      </c>
    </row>
    <row r="2322" spans="1:9" x14ac:dyDescent="0.3">
      <c r="A2322" s="1">
        <v>44648</v>
      </c>
      <c r="B2322" t="s">
        <v>45</v>
      </c>
      <c r="C2322" t="s">
        <v>94</v>
      </c>
      <c r="D2322" t="s">
        <v>413</v>
      </c>
      <c r="E2322" t="s">
        <v>373</v>
      </c>
      <c r="F2322">
        <v>37000</v>
      </c>
      <c r="H2322">
        <f t="shared" si="80"/>
        <v>3</v>
      </c>
      <c r="I2322">
        <f t="shared" si="81"/>
        <v>2022</v>
      </c>
    </row>
    <row r="2323" spans="1:9" x14ac:dyDescent="0.3">
      <c r="A2323" s="1">
        <v>44648</v>
      </c>
      <c r="B2323" t="s">
        <v>234</v>
      </c>
      <c r="G2323">
        <v>30840</v>
      </c>
      <c r="H2323">
        <f t="shared" si="80"/>
        <v>3</v>
      </c>
      <c r="I2323">
        <f t="shared" si="81"/>
        <v>2022</v>
      </c>
    </row>
    <row r="2324" spans="1:9" x14ac:dyDescent="0.3">
      <c r="A2324" s="1">
        <v>44648</v>
      </c>
      <c r="B2324" t="s">
        <v>234</v>
      </c>
      <c r="C2324" t="s">
        <v>94</v>
      </c>
      <c r="D2324" t="s">
        <v>288</v>
      </c>
      <c r="E2324" t="s">
        <v>264</v>
      </c>
      <c r="F2324">
        <v>6800</v>
      </c>
      <c r="H2324">
        <f t="shared" si="80"/>
        <v>3</v>
      </c>
      <c r="I2324">
        <f t="shared" si="81"/>
        <v>2022</v>
      </c>
    </row>
    <row r="2325" spans="1:9" x14ac:dyDescent="0.3">
      <c r="A2325" s="1">
        <v>44648</v>
      </c>
      <c r="B2325" t="s">
        <v>234</v>
      </c>
      <c r="C2325" t="s">
        <v>94</v>
      </c>
      <c r="D2325" t="s">
        <v>251</v>
      </c>
      <c r="E2325" t="s">
        <v>373</v>
      </c>
      <c r="F2325">
        <v>3700</v>
      </c>
      <c r="H2325">
        <f t="shared" si="80"/>
        <v>3</v>
      </c>
      <c r="I2325">
        <f t="shared" si="81"/>
        <v>2022</v>
      </c>
    </row>
    <row r="2326" spans="1:9" x14ac:dyDescent="0.3">
      <c r="A2326" s="1">
        <v>44648</v>
      </c>
      <c r="B2326" t="s">
        <v>234</v>
      </c>
      <c r="C2326" t="s">
        <v>40</v>
      </c>
      <c r="D2326" t="s">
        <v>9</v>
      </c>
      <c r="E2326" t="s">
        <v>104</v>
      </c>
      <c r="F2326">
        <v>6600</v>
      </c>
      <c r="H2326">
        <f t="shared" si="80"/>
        <v>3</v>
      </c>
      <c r="I2326">
        <f t="shared" si="81"/>
        <v>2022</v>
      </c>
    </row>
    <row r="2327" spans="1:9" x14ac:dyDescent="0.3">
      <c r="A2327" s="1">
        <v>44648</v>
      </c>
      <c r="B2327" t="s">
        <v>234</v>
      </c>
      <c r="C2327" t="s">
        <v>98</v>
      </c>
      <c r="D2327" t="s">
        <v>37</v>
      </c>
      <c r="E2327" t="s">
        <v>14</v>
      </c>
      <c r="F2327">
        <v>5350</v>
      </c>
      <c r="H2327">
        <f t="shared" si="80"/>
        <v>3</v>
      </c>
      <c r="I2327">
        <f t="shared" si="81"/>
        <v>2022</v>
      </c>
    </row>
    <row r="2328" spans="1:9" x14ac:dyDescent="0.3">
      <c r="A2328" s="1">
        <v>44648</v>
      </c>
      <c r="B2328" t="s">
        <v>234</v>
      </c>
      <c r="C2328" t="s">
        <v>219</v>
      </c>
      <c r="D2328" t="s">
        <v>93</v>
      </c>
      <c r="E2328" t="s">
        <v>183</v>
      </c>
      <c r="F2328">
        <v>3320</v>
      </c>
      <c r="H2328">
        <f t="shared" si="80"/>
        <v>3</v>
      </c>
      <c r="I2328">
        <f t="shared" si="81"/>
        <v>2022</v>
      </c>
    </row>
    <row r="2329" spans="1:9" x14ac:dyDescent="0.3">
      <c r="A2329" s="1">
        <v>44648</v>
      </c>
      <c r="B2329" t="s">
        <v>234</v>
      </c>
      <c r="C2329" t="s">
        <v>204</v>
      </c>
      <c r="D2329" t="s">
        <v>12</v>
      </c>
      <c r="E2329" t="s">
        <v>240</v>
      </c>
      <c r="F2329">
        <v>820</v>
      </c>
      <c r="H2329">
        <f t="shared" si="80"/>
        <v>3</v>
      </c>
      <c r="I2329">
        <f t="shared" si="81"/>
        <v>2022</v>
      </c>
    </row>
    <row r="2330" spans="1:9" x14ac:dyDescent="0.3">
      <c r="A2330" s="1">
        <v>44648</v>
      </c>
      <c r="B2330" t="s">
        <v>234</v>
      </c>
      <c r="C2330" t="s">
        <v>101</v>
      </c>
      <c r="D2330" t="s">
        <v>12</v>
      </c>
      <c r="E2330" t="s">
        <v>202</v>
      </c>
      <c r="F2330">
        <v>980</v>
      </c>
      <c r="H2330">
        <f t="shared" si="80"/>
        <v>3</v>
      </c>
      <c r="I2330">
        <f t="shared" si="81"/>
        <v>2022</v>
      </c>
    </row>
    <row r="2331" spans="1:9" x14ac:dyDescent="0.3">
      <c r="A2331" s="1">
        <v>44648</v>
      </c>
      <c r="B2331" t="s">
        <v>234</v>
      </c>
      <c r="C2331" t="s">
        <v>123</v>
      </c>
      <c r="D2331" t="s">
        <v>12</v>
      </c>
      <c r="E2331" t="s">
        <v>237</v>
      </c>
      <c r="F2331">
        <v>1580</v>
      </c>
      <c r="H2331">
        <f t="shared" si="80"/>
        <v>3</v>
      </c>
      <c r="I2331">
        <f t="shared" si="81"/>
        <v>2022</v>
      </c>
    </row>
    <row r="2332" spans="1:9" x14ac:dyDescent="0.3">
      <c r="A2332" s="1">
        <v>44648</v>
      </c>
      <c r="B2332" t="s">
        <v>234</v>
      </c>
      <c r="C2332" t="s">
        <v>125</v>
      </c>
      <c r="D2332" t="s">
        <v>5</v>
      </c>
      <c r="E2332" t="s">
        <v>126</v>
      </c>
      <c r="F2332">
        <v>690</v>
      </c>
      <c r="H2332">
        <f t="shared" si="80"/>
        <v>3</v>
      </c>
      <c r="I2332">
        <f t="shared" si="81"/>
        <v>2022</v>
      </c>
    </row>
    <row r="2333" spans="1:9" x14ac:dyDescent="0.3">
      <c r="A2333" s="1">
        <v>44648</v>
      </c>
      <c r="B2333" t="s">
        <v>234</v>
      </c>
      <c r="C2333" t="s">
        <v>142</v>
      </c>
      <c r="D2333" t="s">
        <v>12</v>
      </c>
      <c r="E2333" t="s">
        <v>156</v>
      </c>
      <c r="F2333">
        <v>1000</v>
      </c>
      <c r="H2333">
        <f t="shared" si="80"/>
        <v>3</v>
      </c>
      <c r="I2333">
        <f t="shared" si="81"/>
        <v>2022</v>
      </c>
    </row>
    <row r="2334" spans="1:9" x14ac:dyDescent="0.3">
      <c r="A2334" s="1">
        <v>44649</v>
      </c>
      <c r="B2334" t="s">
        <v>36</v>
      </c>
      <c r="G2334">
        <v>12800</v>
      </c>
      <c r="H2334">
        <f t="shared" si="80"/>
        <v>3</v>
      </c>
      <c r="I2334">
        <f t="shared" si="81"/>
        <v>2022</v>
      </c>
    </row>
    <row r="2335" spans="1:9" x14ac:dyDescent="0.3">
      <c r="A2335" s="1">
        <v>44649</v>
      </c>
      <c r="B2335" t="s">
        <v>36</v>
      </c>
      <c r="C2335" t="s">
        <v>40</v>
      </c>
      <c r="D2335" t="s">
        <v>54</v>
      </c>
      <c r="E2335" t="s">
        <v>90</v>
      </c>
      <c r="F2335">
        <v>12800</v>
      </c>
      <c r="H2335">
        <f t="shared" si="80"/>
        <v>3</v>
      </c>
      <c r="I2335">
        <f t="shared" si="81"/>
        <v>2022</v>
      </c>
    </row>
    <row r="2336" spans="1:9" x14ac:dyDescent="0.3">
      <c r="A2336" s="1">
        <v>44650</v>
      </c>
      <c r="B2336" t="s">
        <v>398</v>
      </c>
      <c r="G2336">
        <v>36040</v>
      </c>
      <c r="H2336">
        <f t="shared" si="80"/>
        <v>3</v>
      </c>
      <c r="I2336">
        <f t="shared" si="81"/>
        <v>2022</v>
      </c>
    </row>
    <row r="2337" spans="1:9" x14ac:dyDescent="0.3">
      <c r="A2337" s="1">
        <v>44650</v>
      </c>
      <c r="B2337" t="s">
        <v>398</v>
      </c>
      <c r="C2337" t="s">
        <v>136</v>
      </c>
      <c r="D2337" t="s">
        <v>25</v>
      </c>
      <c r="E2337" t="s">
        <v>115</v>
      </c>
      <c r="F2337">
        <v>3250</v>
      </c>
      <c r="H2337">
        <f t="shared" si="80"/>
        <v>3</v>
      </c>
      <c r="I2337">
        <f t="shared" si="81"/>
        <v>2022</v>
      </c>
    </row>
    <row r="2338" spans="1:9" x14ac:dyDescent="0.3">
      <c r="A2338" s="1">
        <v>44650</v>
      </c>
      <c r="B2338" t="s">
        <v>398</v>
      </c>
      <c r="C2338" t="s">
        <v>40</v>
      </c>
      <c r="D2338" t="s">
        <v>9</v>
      </c>
      <c r="E2338" t="s">
        <v>104</v>
      </c>
      <c r="F2338">
        <v>6600</v>
      </c>
      <c r="H2338">
        <f t="shared" si="80"/>
        <v>3</v>
      </c>
      <c r="I2338">
        <f t="shared" si="81"/>
        <v>2022</v>
      </c>
    </row>
    <row r="2339" spans="1:9" x14ac:dyDescent="0.3">
      <c r="A2339" s="1">
        <v>44650</v>
      </c>
      <c r="B2339" t="s">
        <v>398</v>
      </c>
      <c r="C2339" t="s">
        <v>142</v>
      </c>
      <c r="D2339" t="s">
        <v>59</v>
      </c>
      <c r="E2339" t="s">
        <v>31</v>
      </c>
      <c r="F2339">
        <v>4160</v>
      </c>
      <c r="H2339">
        <f t="shared" si="80"/>
        <v>3</v>
      </c>
      <c r="I2339">
        <f t="shared" si="81"/>
        <v>2022</v>
      </c>
    </row>
    <row r="2340" spans="1:9" x14ac:dyDescent="0.3">
      <c r="A2340" s="1">
        <v>44650</v>
      </c>
      <c r="B2340" t="s">
        <v>398</v>
      </c>
      <c r="C2340" t="s">
        <v>125</v>
      </c>
      <c r="D2340" t="s">
        <v>18</v>
      </c>
      <c r="E2340" t="s">
        <v>70</v>
      </c>
      <c r="F2340">
        <v>4260</v>
      </c>
      <c r="H2340">
        <f t="shared" si="80"/>
        <v>3</v>
      </c>
      <c r="I2340">
        <f t="shared" si="81"/>
        <v>2022</v>
      </c>
    </row>
    <row r="2341" spans="1:9" x14ac:dyDescent="0.3">
      <c r="A2341" s="1">
        <v>44650</v>
      </c>
      <c r="B2341" t="s">
        <v>398</v>
      </c>
      <c r="C2341" t="s">
        <v>101</v>
      </c>
      <c r="D2341" t="s">
        <v>30</v>
      </c>
      <c r="E2341" t="s">
        <v>202</v>
      </c>
      <c r="F2341">
        <v>3430</v>
      </c>
      <c r="H2341">
        <f t="shared" si="80"/>
        <v>3</v>
      </c>
      <c r="I2341">
        <f t="shared" si="81"/>
        <v>2022</v>
      </c>
    </row>
    <row r="2342" spans="1:9" x14ac:dyDescent="0.3">
      <c r="A2342" s="1">
        <v>44650</v>
      </c>
      <c r="B2342" t="s">
        <v>398</v>
      </c>
      <c r="C2342" t="s">
        <v>94</v>
      </c>
      <c r="D2342" t="s">
        <v>244</v>
      </c>
      <c r="E2342" t="s">
        <v>186</v>
      </c>
      <c r="F2342">
        <v>5700</v>
      </c>
      <c r="H2342">
        <f t="shared" si="80"/>
        <v>3</v>
      </c>
      <c r="I2342">
        <f t="shared" si="81"/>
        <v>2022</v>
      </c>
    </row>
    <row r="2343" spans="1:9" x14ac:dyDescent="0.3">
      <c r="A2343" s="1">
        <v>44650</v>
      </c>
      <c r="B2343" t="s">
        <v>398</v>
      </c>
      <c r="C2343" t="s">
        <v>108</v>
      </c>
      <c r="D2343" t="s">
        <v>25</v>
      </c>
      <c r="E2343" t="s">
        <v>99</v>
      </c>
      <c r="F2343">
        <v>2700</v>
      </c>
      <c r="H2343">
        <f t="shared" si="80"/>
        <v>3</v>
      </c>
      <c r="I2343">
        <f t="shared" si="81"/>
        <v>2022</v>
      </c>
    </row>
    <row r="2344" spans="1:9" x14ac:dyDescent="0.3">
      <c r="A2344" s="1">
        <v>44650</v>
      </c>
      <c r="B2344" t="s">
        <v>398</v>
      </c>
      <c r="C2344" t="s">
        <v>133</v>
      </c>
      <c r="D2344" t="s">
        <v>23</v>
      </c>
      <c r="E2344" t="s">
        <v>99</v>
      </c>
      <c r="F2344">
        <v>1620</v>
      </c>
      <c r="H2344">
        <f t="shared" si="80"/>
        <v>3</v>
      </c>
      <c r="I2344">
        <f t="shared" si="81"/>
        <v>2022</v>
      </c>
    </row>
    <row r="2345" spans="1:9" x14ac:dyDescent="0.3">
      <c r="A2345" s="1">
        <v>44650</v>
      </c>
      <c r="B2345" t="s">
        <v>398</v>
      </c>
      <c r="C2345" t="s">
        <v>146</v>
      </c>
      <c r="D2345" t="s">
        <v>5</v>
      </c>
      <c r="E2345" t="s">
        <v>99</v>
      </c>
      <c r="F2345">
        <v>540</v>
      </c>
      <c r="H2345">
        <f t="shared" si="80"/>
        <v>3</v>
      </c>
      <c r="I2345">
        <f t="shared" si="81"/>
        <v>2022</v>
      </c>
    </row>
    <row r="2346" spans="1:9" x14ac:dyDescent="0.3">
      <c r="A2346" s="1">
        <v>44650</v>
      </c>
      <c r="B2346" t="s">
        <v>398</v>
      </c>
      <c r="C2346" t="s">
        <v>98</v>
      </c>
      <c r="D2346" t="s">
        <v>25</v>
      </c>
      <c r="E2346" t="s">
        <v>99</v>
      </c>
      <c r="F2346">
        <v>2700</v>
      </c>
      <c r="H2346">
        <f t="shared" si="80"/>
        <v>3</v>
      </c>
      <c r="I2346">
        <f t="shared" si="81"/>
        <v>2022</v>
      </c>
    </row>
    <row r="2347" spans="1:9" x14ac:dyDescent="0.3">
      <c r="A2347" s="1">
        <v>44650</v>
      </c>
      <c r="B2347" t="s">
        <v>398</v>
      </c>
      <c r="C2347" t="s">
        <v>134</v>
      </c>
      <c r="D2347" t="s">
        <v>12</v>
      </c>
      <c r="E2347" t="s">
        <v>99</v>
      </c>
      <c r="F2347">
        <v>1080</v>
      </c>
      <c r="H2347">
        <f t="shared" si="80"/>
        <v>3</v>
      </c>
      <c r="I2347">
        <f t="shared" si="81"/>
        <v>2022</v>
      </c>
    </row>
    <row r="2348" spans="1:9" x14ac:dyDescent="0.3">
      <c r="A2348" s="1">
        <v>44650</v>
      </c>
      <c r="B2348" t="s">
        <v>398</v>
      </c>
      <c r="G2348">
        <v>12160</v>
      </c>
      <c r="H2348">
        <f t="shared" si="80"/>
        <v>3</v>
      </c>
      <c r="I2348">
        <f t="shared" si="81"/>
        <v>2022</v>
      </c>
    </row>
    <row r="2349" spans="1:9" x14ac:dyDescent="0.3">
      <c r="A2349" s="1">
        <v>44650</v>
      </c>
      <c r="B2349" t="s">
        <v>398</v>
      </c>
      <c r="C2349" t="s">
        <v>219</v>
      </c>
      <c r="D2349" t="s">
        <v>23</v>
      </c>
      <c r="E2349" t="s">
        <v>170</v>
      </c>
      <c r="F2349">
        <v>2580</v>
      </c>
      <c r="H2349">
        <f t="shared" si="80"/>
        <v>3</v>
      </c>
      <c r="I2349">
        <f t="shared" si="81"/>
        <v>2022</v>
      </c>
    </row>
    <row r="2350" spans="1:9" x14ac:dyDescent="0.3">
      <c r="A2350" s="1">
        <v>44650</v>
      </c>
      <c r="B2350" t="s">
        <v>398</v>
      </c>
      <c r="C2350" t="s">
        <v>394</v>
      </c>
      <c r="D2350" t="s">
        <v>12</v>
      </c>
      <c r="E2350" t="s">
        <v>170</v>
      </c>
      <c r="F2350">
        <v>1720</v>
      </c>
      <c r="H2350">
        <f t="shared" si="80"/>
        <v>3</v>
      </c>
      <c r="I2350">
        <f t="shared" si="81"/>
        <v>2022</v>
      </c>
    </row>
    <row r="2351" spans="1:9" x14ac:dyDescent="0.3">
      <c r="A2351" s="1">
        <v>44650</v>
      </c>
      <c r="B2351" t="s">
        <v>398</v>
      </c>
      <c r="C2351" t="s">
        <v>231</v>
      </c>
      <c r="D2351" t="s">
        <v>23</v>
      </c>
      <c r="E2351" t="s">
        <v>115</v>
      </c>
      <c r="F2351">
        <v>1950</v>
      </c>
      <c r="H2351">
        <f t="shared" si="80"/>
        <v>3</v>
      </c>
      <c r="I2351">
        <f t="shared" si="81"/>
        <v>2022</v>
      </c>
    </row>
    <row r="2352" spans="1:9" x14ac:dyDescent="0.3">
      <c r="A2352" s="1">
        <v>44650</v>
      </c>
      <c r="B2352" t="s">
        <v>398</v>
      </c>
      <c r="C2352" t="s">
        <v>175</v>
      </c>
      <c r="D2352" t="s">
        <v>12</v>
      </c>
      <c r="E2352" t="s">
        <v>99</v>
      </c>
      <c r="F2352">
        <v>1080</v>
      </c>
      <c r="H2352">
        <f t="shared" si="80"/>
        <v>3</v>
      </c>
      <c r="I2352">
        <f t="shared" si="81"/>
        <v>2022</v>
      </c>
    </row>
    <row r="2353" spans="1:9" x14ac:dyDescent="0.3">
      <c r="A2353" s="1">
        <v>44650</v>
      </c>
      <c r="B2353" t="s">
        <v>398</v>
      </c>
      <c r="C2353" t="s">
        <v>204</v>
      </c>
      <c r="D2353" t="s">
        <v>12</v>
      </c>
      <c r="E2353" t="s">
        <v>205</v>
      </c>
      <c r="F2353">
        <v>1500</v>
      </c>
      <c r="H2353">
        <f t="shared" si="80"/>
        <v>3</v>
      </c>
      <c r="I2353">
        <f t="shared" si="81"/>
        <v>2022</v>
      </c>
    </row>
    <row r="2354" spans="1:9" x14ac:dyDescent="0.3">
      <c r="A2354" s="1">
        <v>44650</v>
      </c>
      <c r="B2354" t="s">
        <v>398</v>
      </c>
      <c r="C2354" t="s">
        <v>216</v>
      </c>
      <c r="D2354" t="s">
        <v>12</v>
      </c>
      <c r="E2354" t="s">
        <v>205</v>
      </c>
      <c r="F2354">
        <v>1500</v>
      </c>
      <c r="H2354">
        <f t="shared" si="80"/>
        <v>3</v>
      </c>
      <c r="I2354">
        <f t="shared" si="81"/>
        <v>2022</v>
      </c>
    </row>
    <row r="2355" spans="1:9" x14ac:dyDescent="0.3">
      <c r="A2355" s="1">
        <v>44650</v>
      </c>
      <c r="B2355" t="s">
        <v>398</v>
      </c>
      <c r="C2355" t="s">
        <v>252</v>
      </c>
      <c r="D2355" t="s">
        <v>5</v>
      </c>
      <c r="E2355" t="s">
        <v>205</v>
      </c>
      <c r="F2355">
        <v>750</v>
      </c>
      <c r="H2355">
        <f t="shared" si="80"/>
        <v>3</v>
      </c>
      <c r="I2355">
        <f t="shared" si="81"/>
        <v>2022</v>
      </c>
    </row>
    <row r="2356" spans="1:9" x14ac:dyDescent="0.3">
      <c r="A2356" s="1">
        <v>44650</v>
      </c>
      <c r="B2356" t="s">
        <v>398</v>
      </c>
      <c r="C2356" t="s">
        <v>389</v>
      </c>
      <c r="D2356" t="s">
        <v>5</v>
      </c>
      <c r="E2356" t="s">
        <v>90</v>
      </c>
      <c r="F2356">
        <v>320</v>
      </c>
      <c r="H2356">
        <f t="shared" si="80"/>
        <v>3</v>
      </c>
      <c r="I2356">
        <f t="shared" si="81"/>
        <v>2022</v>
      </c>
    </row>
    <row r="2357" spans="1:9" x14ac:dyDescent="0.3">
      <c r="A2357" s="1">
        <v>44650</v>
      </c>
      <c r="B2357" t="s">
        <v>398</v>
      </c>
      <c r="C2357" t="s">
        <v>381</v>
      </c>
      <c r="D2357" t="s">
        <v>59</v>
      </c>
      <c r="E2357" t="s">
        <v>382</v>
      </c>
      <c r="F2357">
        <v>760</v>
      </c>
      <c r="H2357">
        <f t="shared" si="80"/>
        <v>3</v>
      </c>
      <c r="I2357">
        <f t="shared" si="81"/>
        <v>2022</v>
      </c>
    </row>
    <row r="2358" spans="1:9" x14ac:dyDescent="0.3">
      <c r="A2358" s="1">
        <v>44650</v>
      </c>
      <c r="B2358" t="s">
        <v>3</v>
      </c>
      <c r="G2358">
        <v>2700</v>
      </c>
      <c r="H2358">
        <f t="shared" si="80"/>
        <v>3</v>
      </c>
      <c r="I2358">
        <f t="shared" si="81"/>
        <v>2022</v>
      </c>
    </row>
    <row r="2359" spans="1:9" x14ac:dyDescent="0.3">
      <c r="A2359" s="1">
        <v>44650</v>
      </c>
      <c r="B2359" t="s">
        <v>3</v>
      </c>
      <c r="C2359" t="s">
        <v>98</v>
      </c>
      <c r="D2359" t="s">
        <v>25</v>
      </c>
      <c r="E2359" t="s">
        <v>99</v>
      </c>
      <c r="F2359">
        <v>2700</v>
      </c>
      <c r="H2359">
        <f t="shared" si="80"/>
        <v>3</v>
      </c>
      <c r="I2359">
        <f t="shared" si="81"/>
        <v>2022</v>
      </c>
    </row>
    <row r="2360" spans="1:9" x14ac:dyDescent="0.3">
      <c r="A2360" s="1">
        <v>44650</v>
      </c>
      <c r="B2360" t="s">
        <v>418</v>
      </c>
      <c r="G2360">
        <v>11330</v>
      </c>
      <c r="H2360">
        <f t="shared" si="80"/>
        <v>3</v>
      </c>
      <c r="I2360">
        <f t="shared" si="81"/>
        <v>2022</v>
      </c>
    </row>
    <row r="2361" spans="1:9" x14ac:dyDescent="0.3">
      <c r="A2361" s="1">
        <v>44650</v>
      </c>
      <c r="B2361" t="s">
        <v>418</v>
      </c>
      <c r="C2361" t="s">
        <v>94</v>
      </c>
      <c r="D2361" t="s">
        <v>288</v>
      </c>
      <c r="E2361" t="s">
        <v>264</v>
      </c>
      <c r="F2361">
        <v>6800</v>
      </c>
      <c r="H2361">
        <f t="shared" si="80"/>
        <v>3</v>
      </c>
      <c r="I2361">
        <f t="shared" si="81"/>
        <v>2022</v>
      </c>
    </row>
    <row r="2362" spans="1:9" x14ac:dyDescent="0.3">
      <c r="A2362" s="1">
        <v>44650</v>
      </c>
      <c r="B2362" t="s">
        <v>418</v>
      </c>
      <c r="C2362" t="s">
        <v>108</v>
      </c>
      <c r="D2362" t="s">
        <v>12</v>
      </c>
      <c r="E2362" t="s">
        <v>99</v>
      </c>
      <c r="F2362">
        <v>1080</v>
      </c>
      <c r="H2362">
        <f t="shared" si="80"/>
        <v>3</v>
      </c>
      <c r="I2362">
        <f t="shared" si="81"/>
        <v>2022</v>
      </c>
    </row>
    <row r="2363" spans="1:9" x14ac:dyDescent="0.3">
      <c r="A2363" s="1">
        <v>44650</v>
      </c>
      <c r="B2363" t="s">
        <v>418</v>
      </c>
      <c r="C2363" t="s">
        <v>187</v>
      </c>
      <c r="D2363" t="s">
        <v>5</v>
      </c>
      <c r="E2363" t="s">
        <v>99</v>
      </c>
      <c r="F2363">
        <v>540</v>
      </c>
      <c r="H2363">
        <f t="shared" si="80"/>
        <v>3</v>
      </c>
      <c r="I2363">
        <f t="shared" si="81"/>
        <v>2022</v>
      </c>
    </row>
    <row r="2364" spans="1:9" x14ac:dyDescent="0.3">
      <c r="A2364" s="1">
        <v>44650</v>
      </c>
      <c r="B2364" t="s">
        <v>418</v>
      </c>
      <c r="C2364" t="s">
        <v>38</v>
      </c>
      <c r="D2364" t="s">
        <v>12</v>
      </c>
      <c r="E2364" t="s">
        <v>79</v>
      </c>
      <c r="F2364">
        <v>840</v>
      </c>
      <c r="H2364">
        <f t="shared" si="80"/>
        <v>3</v>
      </c>
      <c r="I2364">
        <f t="shared" si="81"/>
        <v>2022</v>
      </c>
    </row>
    <row r="2365" spans="1:9" x14ac:dyDescent="0.3">
      <c r="A2365" s="1">
        <v>44650</v>
      </c>
      <c r="B2365" t="s">
        <v>418</v>
      </c>
      <c r="C2365" t="s">
        <v>146</v>
      </c>
      <c r="D2365" t="s">
        <v>5</v>
      </c>
      <c r="E2365" t="s">
        <v>99</v>
      </c>
      <c r="F2365">
        <v>540</v>
      </c>
      <c r="H2365">
        <f t="shared" si="80"/>
        <v>3</v>
      </c>
      <c r="I2365">
        <f t="shared" si="81"/>
        <v>2022</v>
      </c>
    </row>
    <row r="2366" spans="1:9" x14ac:dyDescent="0.3">
      <c r="A2366" s="1">
        <v>44650</v>
      </c>
      <c r="B2366" t="s">
        <v>418</v>
      </c>
      <c r="C2366" t="s">
        <v>101</v>
      </c>
      <c r="D2366" t="s">
        <v>23</v>
      </c>
      <c r="E2366" t="s">
        <v>7</v>
      </c>
      <c r="F2366">
        <v>1530</v>
      </c>
      <c r="H2366">
        <f t="shared" si="80"/>
        <v>3</v>
      </c>
      <c r="I2366">
        <f t="shared" si="81"/>
        <v>2022</v>
      </c>
    </row>
    <row r="2367" spans="1:9" x14ac:dyDescent="0.3">
      <c r="A2367" s="1">
        <v>44650</v>
      </c>
      <c r="B2367" t="s">
        <v>3</v>
      </c>
      <c r="G2367">
        <v>9290</v>
      </c>
      <c r="H2367">
        <f t="shared" si="80"/>
        <v>3</v>
      </c>
      <c r="I2367">
        <f t="shared" si="81"/>
        <v>2022</v>
      </c>
    </row>
    <row r="2368" spans="1:9" x14ac:dyDescent="0.3">
      <c r="A2368" s="1">
        <v>44650</v>
      </c>
      <c r="B2368" t="s">
        <v>3</v>
      </c>
      <c r="C2368" t="s">
        <v>94</v>
      </c>
      <c r="D2368" t="s">
        <v>251</v>
      </c>
      <c r="E2368" t="s">
        <v>186</v>
      </c>
      <c r="F2368">
        <v>3800</v>
      </c>
      <c r="H2368">
        <f t="shared" si="80"/>
        <v>3</v>
      </c>
      <c r="I2368">
        <f t="shared" si="81"/>
        <v>2022</v>
      </c>
    </row>
    <row r="2369" spans="1:9" x14ac:dyDescent="0.3">
      <c r="A2369" s="1">
        <v>44650</v>
      </c>
      <c r="B2369" t="s">
        <v>3</v>
      </c>
      <c r="C2369" t="s">
        <v>40</v>
      </c>
      <c r="D2369" t="s">
        <v>61</v>
      </c>
      <c r="E2369" t="s">
        <v>104</v>
      </c>
      <c r="F2369">
        <v>4950</v>
      </c>
      <c r="H2369">
        <f t="shared" si="80"/>
        <v>3</v>
      </c>
      <c r="I2369">
        <f t="shared" si="81"/>
        <v>2022</v>
      </c>
    </row>
    <row r="2370" spans="1:9" x14ac:dyDescent="0.3">
      <c r="A2370" s="1">
        <v>44650</v>
      </c>
      <c r="B2370" t="s">
        <v>3</v>
      </c>
      <c r="C2370" t="s">
        <v>98</v>
      </c>
      <c r="D2370" t="s">
        <v>5</v>
      </c>
      <c r="E2370" t="s">
        <v>99</v>
      </c>
      <c r="F2370">
        <v>540</v>
      </c>
      <c r="H2370">
        <f t="shared" si="80"/>
        <v>3</v>
      </c>
      <c r="I2370">
        <f t="shared" si="81"/>
        <v>2022</v>
      </c>
    </row>
    <row r="2371" spans="1:9" x14ac:dyDescent="0.3">
      <c r="A2371" s="1">
        <v>44651</v>
      </c>
      <c r="B2371" t="s">
        <v>10</v>
      </c>
      <c r="G2371">
        <v>2120</v>
      </c>
      <c r="H2371">
        <f t="shared" si="80"/>
        <v>3</v>
      </c>
      <c r="I2371">
        <f t="shared" si="81"/>
        <v>2022</v>
      </c>
    </row>
    <row r="2372" spans="1:9" x14ac:dyDescent="0.3">
      <c r="A2372" s="1">
        <v>44651</v>
      </c>
      <c r="B2372" t="s">
        <v>10</v>
      </c>
      <c r="C2372" t="s">
        <v>98</v>
      </c>
      <c r="D2372" t="s">
        <v>93</v>
      </c>
      <c r="E2372" t="s">
        <v>26</v>
      </c>
      <c r="F2372">
        <v>2120</v>
      </c>
      <c r="H2372">
        <v>3</v>
      </c>
      <c r="I2372">
        <f t="shared" si="81"/>
        <v>2022</v>
      </c>
    </row>
  </sheetData>
  <autoFilter ref="A1:I2372" xr:uid="{B4DDAB72-FF3A-4684-BE6D-2828B5D66FA6}">
    <sortState xmlns:xlrd2="http://schemas.microsoft.com/office/spreadsheetml/2017/richdata2" ref="A395:I637">
      <sortCondition descending="1" ref="B1:B2372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17B87-91F2-4F44-8379-1B713A5A7A85}">
  <dimension ref="A3:B23"/>
  <sheetViews>
    <sheetView topLeftCell="C1" workbookViewId="0">
      <selection activeCell="B16" sqref="B16"/>
    </sheetView>
  </sheetViews>
  <sheetFormatPr defaultRowHeight="14.4" x14ac:dyDescent="0.3"/>
  <cols>
    <col min="1" max="1" width="12.5546875" bestFit="1" customWidth="1"/>
    <col min="2" max="3" width="19.21875" bestFit="1" customWidth="1"/>
  </cols>
  <sheetData>
    <row r="3" spans="1:2" x14ac:dyDescent="0.3">
      <c r="A3" s="2" t="s">
        <v>421</v>
      </c>
      <c r="B3" t="s">
        <v>428</v>
      </c>
    </row>
    <row r="4" spans="1:2" x14ac:dyDescent="0.3">
      <c r="A4" s="3" t="s">
        <v>430</v>
      </c>
      <c r="B4">
        <v>3439944</v>
      </c>
    </row>
    <row r="5" spans="1:2" x14ac:dyDescent="0.3">
      <c r="A5" s="4" t="s">
        <v>432</v>
      </c>
      <c r="B5">
        <v>1322034</v>
      </c>
    </row>
    <row r="6" spans="1:2" x14ac:dyDescent="0.3">
      <c r="A6" s="5" t="s">
        <v>433</v>
      </c>
      <c r="B6">
        <v>645447</v>
      </c>
    </row>
    <row r="7" spans="1:2" x14ac:dyDescent="0.3">
      <c r="A7" s="5" t="s">
        <v>435</v>
      </c>
      <c r="B7">
        <v>457785</v>
      </c>
    </row>
    <row r="8" spans="1:2" x14ac:dyDescent="0.3">
      <c r="A8" s="5" t="s">
        <v>434</v>
      </c>
      <c r="B8">
        <v>218802</v>
      </c>
    </row>
    <row r="9" spans="1:2" x14ac:dyDescent="0.3">
      <c r="A9" s="4" t="s">
        <v>436</v>
      </c>
      <c r="B9">
        <v>1192717</v>
      </c>
    </row>
    <row r="10" spans="1:2" x14ac:dyDescent="0.3">
      <c r="A10" s="5" t="s">
        <v>439</v>
      </c>
      <c r="B10">
        <v>537582</v>
      </c>
    </row>
    <row r="11" spans="1:2" x14ac:dyDescent="0.3">
      <c r="A11" s="5" t="s">
        <v>438</v>
      </c>
      <c r="B11">
        <v>365740</v>
      </c>
    </row>
    <row r="12" spans="1:2" x14ac:dyDescent="0.3">
      <c r="A12" s="5" t="s">
        <v>437</v>
      </c>
      <c r="B12">
        <v>289395</v>
      </c>
    </row>
    <row r="13" spans="1:2" x14ac:dyDescent="0.3">
      <c r="A13" s="4" t="s">
        <v>440</v>
      </c>
      <c r="B13">
        <v>925193</v>
      </c>
    </row>
    <row r="14" spans="1:2" x14ac:dyDescent="0.3">
      <c r="A14" s="5" t="s">
        <v>441</v>
      </c>
      <c r="B14">
        <v>396862</v>
      </c>
    </row>
    <row r="15" spans="1:2" x14ac:dyDescent="0.3">
      <c r="A15" s="5" t="s">
        <v>442</v>
      </c>
      <c r="B15">
        <v>332168</v>
      </c>
    </row>
    <row r="16" spans="1:2" x14ac:dyDescent="0.3">
      <c r="A16" s="5" t="s">
        <v>443</v>
      </c>
      <c r="B16">
        <v>196163</v>
      </c>
    </row>
    <row r="17" spans="1:2" x14ac:dyDescent="0.3">
      <c r="A17" s="3" t="s">
        <v>431</v>
      </c>
      <c r="B17">
        <v>2305211.9699999997</v>
      </c>
    </row>
    <row r="18" spans="1:2" x14ac:dyDescent="0.3">
      <c r="A18" s="4" t="s">
        <v>444</v>
      </c>
      <c r="B18">
        <v>2305211.9699999997</v>
      </c>
    </row>
    <row r="19" spans="1:2" x14ac:dyDescent="0.3">
      <c r="A19" s="5" t="s">
        <v>447</v>
      </c>
      <c r="B19">
        <v>1510600</v>
      </c>
    </row>
    <row r="20" spans="1:2" x14ac:dyDescent="0.3">
      <c r="A20" s="5" t="s">
        <v>446</v>
      </c>
      <c r="B20">
        <v>566796</v>
      </c>
    </row>
    <row r="21" spans="1:2" x14ac:dyDescent="0.3">
      <c r="A21" s="5" t="s">
        <v>445</v>
      </c>
      <c r="B21">
        <v>227815.97</v>
      </c>
    </row>
    <row r="22" spans="1:2" x14ac:dyDescent="0.3">
      <c r="A22" s="3" t="s">
        <v>422</v>
      </c>
      <c r="B22">
        <v>5745155.9700000007</v>
      </c>
    </row>
    <row r="23" spans="1:2" x14ac:dyDescent="0.3">
      <c r="B23">
        <f>5745155.97/12</f>
        <v>478762.9975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3E93A-E460-4081-934E-DE13D890CCF6}">
  <dimension ref="A3:B9"/>
  <sheetViews>
    <sheetView topLeftCell="B1" workbookViewId="0">
      <selection activeCell="I30" sqref="I30"/>
    </sheetView>
  </sheetViews>
  <sheetFormatPr defaultRowHeight="14.4" x14ac:dyDescent="0.3"/>
  <cols>
    <col min="1" max="1" width="25.6640625" bestFit="1" customWidth="1"/>
    <col min="2" max="2" width="19.21875" bestFit="1" customWidth="1"/>
  </cols>
  <sheetData>
    <row r="3" spans="1:2" x14ac:dyDescent="0.3">
      <c r="A3" s="2" t="s">
        <v>421</v>
      </c>
      <c r="B3" t="s">
        <v>428</v>
      </c>
    </row>
    <row r="4" spans="1:2" x14ac:dyDescent="0.3">
      <c r="A4" s="3" t="s">
        <v>75</v>
      </c>
      <c r="B4">
        <v>301035</v>
      </c>
    </row>
    <row r="5" spans="1:2" x14ac:dyDescent="0.3">
      <c r="A5" s="3" t="s">
        <v>88</v>
      </c>
      <c r="B5">
        <v>268541</v>
      </c>
    </row>
    <row r="6" spans="1:2" x14ac:dyDescent="0.3">
      <c r="A6" s="3" t="s">
        <v>48</v>
      </c>
      <c r="B6">
        <v>262680</v>
      </c>
    </row>
    <row r="7" spans="1:2" x14ac:dyDescent="0.3">
      <c r="A7" s="3" t="s">
        <v>45</v>
      </c>
      <c r="B7">
        <v>223082</v>
      </c>
    </row>
    <row r="8" spans="1:2" x14ac:dyDescent="0.3">
      <c r="A8" s="3" t="s">
        <v>10</v>
      </c>
      <c r="B8">
        <v>219535</v>
      </c>
    </row>
    <row r="9" spans="1:2" x14ac:dyDescent="0.3">
      <c r="A9" s="3" t="s">
        <v>422</v>
      </c>
      <c r="B9">
        <v>1274873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261E7-C1F5-48C3-9832-7A6CEFA5D3A2}">
  <dimension ref="A3:B113"/>
  <sheetViews>
    <sheetView zoomScale="58" workbookViewId="0">
      <selection activeCell="A10" sqref="A4:A112"/>
      <pivotSelection pane="bottomRight" showHeader="1" axis="axisRow" activeRow="9" previousRow="9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defaultRowHeight="14.4" x14ac:dyDescent="0.3"/>
  <cols>
    <col min="1" max="1" width="36.6640625" bestFit="1" customWidth="1"/>
    <col min="2" max="2" width="16.21875" bestFit="1" customWidth="1"/>
  </cols>
  <sheetData>
    <row r="3" spans="1:2" x14ac:dyDescent="0.3">
      <c r="A3" s="2" t="s">
        <v>421</v>
      </c>
      <c r="B3" t="s">
        <v>448</v>
      </c>
    </row>
    <row r="4" spans="1:2" x14ac:dyDescent="0.3">
      <c r="A4" s="3" t="s">
        <v>40</v>
      </c>
      <c r="B4">
        <v>291</v>
      </c>
    </row>
    <row r="5" spans="1:2" x14ac:dyDescent="0.3">
      <c r="A5" s="3" t="s">
        <v>94</v>
      </c>
      <c r="B5">
        <v>145</v>
      </c>
    </row>
    <row r="6" spans="1:2" x14ac:dyDescent="0.3">
      <c r="A6" s="3" t="s">
        <v>98</v>
      </c>
      <c r="B6">
        <v>131</v>
      </c>
    </row>
    <row r="7" spans="1:2" x14ac:dyDescent="0.3">
      <c r="A7" s="3" t="s">
        <v>38</v>
      </c>
      <c r="B7">
        <v>102</v>
      </c>
    </row>
    <row r="8" spans="1:2" x14ac:dyDescent="0.3">
      <c r="A8" s="3" t="s">
        <v>359</v>
      </c>
      <c r="B8">
        <v>94</v>
      </c>
    </row>
    <row r="9" spans="1:2" x14ac:dyDescent="0.3">
      <c r="A9" s="3" t="s">
        <v>11</v>
      </c>
      <c r="B9">
        <v>58</v>
      </c>
    </row>
    <row r="10" spans="1:2" x14ac:dyDescent="0.3">
      <c r="A10" s="3" t="s">
        <v>148</v>
      </c>
      <c r="B10">
        <v>53</v>
      </c>
    </row>
    <row r="11" spans="1:2" x14ac:dyDescent="0.3">
      <c r="A11" s="3" t="s">
        <v>108</v>
      </c>
      <c r="B11">
        <v>45</v>
      </c>
    </row>
    <row r="12" spans="1:2" x14ac:dyDescent="0.3">
      <c r="A12" s="3" t="s">
        <v>22</v>
      </c>
      <c r="B12">
        <v>34</v>
      </c>
    </row>
    <row r="13" spans="1:2" x14ac:dyDescent="0.3">
      <c r="A13" s="3" t="s">
        <v>325</v>
      </c>
      <c r="B13">
        <v>33</v>
      </c>
    </row>
    <row r="14" spans="1:2" x14ac:dyDescent="0.3">
      <c r="A14" s="3" t="s">
        <v>33</v>
      </c>
      <c r="B14">
        <v>32</v>
      </c>
    </row>
    <row r="15" spans="1:2" x14ac:dyDescent="0.3">
      <c r="A15" s="3" t="s">
        <v>101</v>
      </c>
      <c r="B15">
        <v>32</v>
      </c>
    </row>
    <row r="16" spans="1:2" x14ac:dyDescent="0.3">
      <c r="A16" s="3" t="s">
        <v>324</v>
      </c>
      <c r="B16">
        <v>30</v>
      </c>
    </row>
    <row r="17" spans="1:2" x14ac:dyDescent="0.3">
      <c r="A17" s="3" t="s">
        <v>293</v>
      </c>
      <c r="B17">
        <v>28</v>
      </c>
    </row>
    <row r="18" spans="1:2" x14ac:dyDescent="0.3">
      <c r="A18" s="3" t="s">
        <v>204</v>
      </c>
      <c r="B18">
        <v>27</v>
      </c>
    </row>
    <row r="19" spans="1:2" x14ac:dyDescent="0.3">
      <c r="A19" s="3" t="s">
        <v>123</v>
      </c>
      <c r="B19">
        <v>26</v>
      </c>
    </row>
    <row r="20" spans="1:2" x14ac:dyDescent="0.3">
      <c r="A20" s="3" t="s">
        <v>338</v>
      </c>
      <c r="B20">
        <v>25</v>
      </c>
    </row>
    <row r="21" spans="1:2" x14ac:dyDescent="0.3">
      <c r="A21" s="3" t="s">
        <v>142</v>
      </c>
      <c r="B21">
        <v>25</v>
      </c>
    </row>
    <row r="22" spans="1:2" x14ac:dyDescent="0.3">
      <c r="A22" s="3" t="s">
        <v>44</v>
      </c>
      <c r="B22">
        <v>24</v>
      </c>
    </row>
    <row r="23" spans="1:2" x14ac:dyDescent="0.3">
      <c r="A23" s="3" t="s">
        <v>133</v>
      </c>
      <c r="B23">
        <v>24</v>
      </c>
    </row>
    <row r="24" spans="1:2" x14ac:dyDescent="0.3">
      <c r="A24" s="3" t="s">
        <v>134</v>
      </c>
      <c r="B24">
        <v>24</v>
      </c>
    </row>
    <row r="25" spans="1:2" x14ac:dyDescent="0.3">
      <c r="A25" s="3" t="s">
        <v>364</v>
      </c>
      <c r="B25">
        <v>23</v>
      </c>
    </row>
    <row r="26" spans="1:2" x14ac:dyDescent="0.3">
      <c r="A26" s="3" t="s">
        <v>173</v>
      </c>
      <c r="B26">
        <v>23</v>
      </c>
    </row>
    <row r="27" spans="1:2" x14ac:dyDescent="0.3">
      <c r="A27" s="3" t="s">
        <v>211</v>
      </c>
      <c r="B27">
        <v>18</v>
      </c>
    </row>
    <row r="28" spans="1:2" x14ac:dyDescent="0.3">
      <c r="A28" s="3" t="s">
        <v>194</v>
      </c>
      <c r="B28">
        <v>17</v>
      </c>
    </row>
    <row r="29" spans="1:2" x14ac:dyDescent="0.3">
      <c r="A29" s="3" t="s">
        <v>231</v>
      </c>
      <c r="B29">
        <v>15</v>
      </c>
    </row>
    <row r="30" spans="1:2" x14ac:dyDescent="0.3">
      <c r="A30" s="3" t="s">
        <v>125</v>
      </c>
      <c r="B30">
        <v>15</v>
      </c>
    </row>
    <row r="31" spans="1:2" x14ac:dyDescent="0.3">
      <c r="A31" s="3" t="s">
        <v>235</v>
      </c>
      <c r="B31">
        <v>14</v>
      </c>
    </row>
    <row r="32" spans="1:2" x14ac:dyDescent="0.3">
      <c r="A32" s="3" t="s">
        <v>165</v>
      </c>
      <c r="B32">
        <v>12</v>
      </c>
    </row>
    <row r="33" spans="1:2" x14ac:dyDescent="0.3">
      <c r="A33" s="3" t="s">
        <v>198</v>
      </c>
      <c r="B33">
        <v>12</v>
      </c>
    </row>
    <row r="34" spans="1:2" x14ac:dyDescent="0.3">
      <c r="A34" s="3" t="s">
        <v>225</v>
      </c>
      <c r="B34">
        <v>12</v>
      </c>
    </row>
    <row r="35" spans="1:2" x14ac:dyDescent="0.3">
      <c r="A35" s="3" t="s">
        <v>112</v>
      </c>
      <c r="B35">
        <v>11</v>
      </c>
    </row>
    <row r="36" spans="1:2" x14ac:dyDescent="0.3">
      <c r="A36" s="3" t="s">
        <v>135</v>
      </c>
      <c r="B36">
        <v>11</v>
      </c>
    </row>
    <row r="37" spans="1:2" x14ac:dyDescent="0.3">
      <c r="A37" s="3" t="s">
        <v>219</v>
      </c>
      <c r="B37">
        <v>9</v>
      </c>
    </row>
    <row r="38" spans="1:2" x14ac:dyDescent="0.3">
      <c r="A38" s="3" t="s">
        <v>216</v>
      </c>
      <c r="B38">
        <v>9</v>
      </c>
    </row>
    <row r="39" spans="1:2" x14ac:dyDescent="0.3">
      <c r="A39" s="3" t="s">
        <v>294</v>
      </c>
      <c r="B39">
        <v>9</v>
      </c>
    </row>
    <row r="40" spans="1:2" x14ac:dyDescent="0.3">
      <c r="A40" s="3" t="s">
        <v>213</v>
      </c>
      <c r="B40">
        <v>8</v>
      </c>
    </row>
    <row r="41" spans="1:2" x14ac:dyDescent="0.3">
      <c r="A41" s="3" t="s">
        <v>171</v>
      </c>
      <c r="B41">
        <v>8</v>
      </c>
    </row>
    <row r="42" spans="1:2" x14ac:dyDescent="0.3">
      <c r="A42" s="3" t="s">
        <v>42</v>
      </c>
      <c r="B42">
        <v>8</v>
      </c>
    </row>
    <row r="43" spans="1:2" x14ac:dyDescent="0.3">
      <c r="A43" s="3" t="s">
        <v>188</v>
      </c>
      <c r="B43">
        <v>7</v>
      </c>
    </row>
    <row r="44" spans="1:2" x14ac:dyDescent="0.3">
      <c r="A44" s="3" t="s">
        <v>152</v>
      </c>
      <c r="B44">
        <v>7</v>
      </c>
    </row>
    <row r="45" spans="1:2" x14ac:dyDescent="0.3">
      <c r="A45" s="3" t="s">
        <v>116</v>
      </c>
      <c r="B45">
        <v>7</v>
      </c>
    </row>
    <row r="46" spans="1:2" x14ac:dyDescent="0.3">
      <c r="A46" s="3" t="s">
        <v>111</v>
      </c>
      <c r="B46">
        <v>7</v>
      </c>
    </row>
    <row r="47" spans="1:2" x14ac:dyDescent="0.3">
      <c r="A47" s="3" t="s">
        <v>176</v>
      </c>
      <c r="B47">
        <v>6</v>
      </c>
    </row>
    <row r="48" spans="1:2" x14ac:dyDescent="0.3">
      <c r="A48" s="3" t="s">
        <v>136</v>
      </c>
      <c r="B48">
        <v>6</v>
      </c>
    </row>
    <row r="49" spans="1:2" x14ac:dyDescent="0.3">
      <c r="A49" s="3" t="s">
        <v>146</v>
      </c>
      <c r="B49">
        <v>6</v>
      </c>
    </row>
    <row r="50" spans="1:2" x14ac:dyDescent="0.3">
      <c r="A50" s="3" t="s">
        <v>381</v>
      </c>
      <c r="B50">
        <v>6</v>
      </c>
    </row>
    <row r="51" spans="1:2" x14ac:dyDescent="0.3">
      <c r="A51" s="3" t="s">
        <v>394</v>
      </c>
      <c r="B51">
        <v>6</v>
      </c>
    </row>
    <row r="52" spans="1:2" x14ac:dyDescent="0.3">
      <c r="A52" s="3" t="s">
        <v>175</v>
      </c>
      <c r="B52">
        <v>5</v>
      </c>
    </row>
    <row r="53" spans="1:2" x14ac:dyDescent="0.3">
      <c r="A53" s="3" t="s">
        <v>307</v>
      </c>
      <c r="B53">
        <v>5</v>
      </c>
    </row>
    <row r="54" spans="1:2" x14ac:dyDescent="0.3">
      <c r="A54" s="3" t="s">
        <v>271</v>
      </c>
      <c r="B54">
        <v>5</v>
      </c>
    </row>
    <row r="55" spans="1:2" x14ac:dyDescent="0.3">
      <c r="A55" s="3" t="s">
        <v>29</v>
      </c>
      <c r="B55">
        <v>5</v>
      </c>
    </row>
    <row r="56" spans="1:2" x14ac:dyDescent="0.3">
      <c r="A56" s="3" t="s">
        <v>389</v>
      </c>
      <c r="B56">
        <v>5</v>
      </c>
    </row>
    <row r="57" spans="1:2" x14ac:dyDescent="0.3">
      <c r="A57" s="3" t="s">
        <v>256</v>
      </c>
      <c r="B57">
        <v>5</v>
      </c>
    </row>
    <row r="58" spans="1:2" x14ac:dyDescent="0.3">
      <c r="A58" s="3" t="s">
        <v>147</v>
      </c>
      <c r="B58">
        <v>5</v>
      </c>
    </row>
    <row r="59" spans="1:2" x14ac:dyDescent="0.3">
      <c r="A59" s="3" t="s">
        <v>266</v>
      </c>
      <c r="B59">
        <v>4</v>
      </c>
    </row>
    <row r="60" spans="1:2" x14ac:dyDescent="0.3">
      <c r="A60" s="3" t="s">
        <v>246</v>
      </c>
      <c r="B60">
        <v>4</v>
      </c>
    </row>
    <row r="61" spans="1:2" x14ac:dyDescent="0.3">
      <c r="A61" s="3" t="s">
        <v>187</v>
      </c>
      <c r="B61">
        <v>4</v>
      </c>
    </row>
    <row r="62" spans="1:2" x14ac:dyDescent="0.3">
      <c r="A62" s="3" t="s">
        <v>252</v>
      </c>
      <c r="B62">
        <v>4</v>
      </c>
    </row>
    <row r="63" spans="1:2" x14ac:dyDescent="0.3">
      <c r="A63" s="3" t="s">
        <v>89</v>
      </c>
      <c r="B63">
        <v>4</v>
      </c>
    </row>
    <row r="64" spans="1:2" x14ac:dyDescent="0.3">
      <c r="A64" s="3" t="s">
        <v>56</v>
      </c>
      <c r="B64">
        <v>3</v>
      </c>
    </row>
    <row r="65" spans="1:2" x14ac:dyDescent="0.3">
      <c r="A65" s="3" t="s">
        <v>339</v>
      </c>
      <c r="B65">
        <v>3</v>
      </c>
    </row>
    <row r="66" spans="1:2" x14ac:dyDescent="0.3">
      <c r="A66" s="3" t="s">
        <v>191</v>
      </c>
      <c r="B66">
        <v>3</v>
      </c>
    </row>
    <row r="67" spans="1:2" x14ac:dyDescent="0.3">
      <c r="A67" s="3" t="s">
        <v>239</v>
      </c>
      <c r="B67">
        <v>3</v>
      </c>
    </row>
    <row r="68" spans="1:2" x14ac:dyDescent="0.3">
      <c r="A68" s="3" t="s">
        <v>247</v>
      </c>
      <c r="B68">
        <v>3</v>
      </c>
    </row>
    <row r="69" spans="1:2" x14ac:dyDescent="0.3">
      <c r="A69" s="3" t="s">
        <v>87</v>
      </c>
      <c r="B69">
        <v>3</v>
      </c>
    </row>
    <row r="70" spans="1:2" x14ac:dyDescent="0.3">
      <c r="A70" s="3" t="s">
        <v>221</v>
      </c>
      <c r="B70">
        <v>3</v>
      </c>
    </row>
    <row r="71" spans="1:2" x14ac:dyDescent="0.3">
      <c r="A71" s="3" t="s">
        <v>4</v>
      </c>
      <c r="B71">
        <v>3</v>
      </c>
    </row>
    <row r="72" spans="1:2" x14ac:dyDescent="0.3">
      <c r="A72" s="3" t="s">
        <v>310</v>
      </c>
      <c r="B72">
        <v>2</v>
      </c>
    </row>
    <row r="73" spans="1:2" x14ac:dyDescent="0.3">
      <c r="A73" s="3" t="s">
        <v>243</v>
      </c>
      <c r="B73">
        <v>2</v>
      </c>
    </row>
    <row r="74" spans="1:2" x14ac:dyDescent="0.3">
      <c r="A74" s="3" t="s">
        <v>238</v>
      </c>
      <c r="B74">
        <v>2</v>
      </c>
    </row>
    <row r="75" spans="1:2" x14ac:dyDescent="0.3">
      <c r="A75" s="3" t="s">
        <v>140</v>
      </c>
      <c r="B75">
        <v>2</v>
      </c>
    </row>
    <row r="76" spans="1:2" x14ac:dyDescent="0.3">
      <c r="A76" s="3" t="s">
        <v>169</v>
      </c>
      <c r="B76">
        <v>2</v>
      </c>
    </row>
    <row r="77" spans="1:2" x14ac:dyDescent="0.3">
      <c r="A77" s="3" t="s">
        <v>114</v>
      </c>
      <c r="B77">
        <v>2</v>
      </c>
    </row>
    <row r="78" spans="1:2" x14ac:dyDescent="0.3">
      <c r="A78" s="3" t="s">
        <v>281</v>
      </c>
      <c r="B78">
        <v>2</v>
      </c>
    </row>
    <row r="79" spans="1:2" x14ac:dyDescent="0.3">
      <c r="A79" s="3" t="s">
        <v>383</v>
      </c>
      <c r="B79">
        <v>2</v>
      </c>
    </row>
    <row r="80" spans="1:2" x14ac:dyDescent="0.3">
      <c r="A80" s="3" t="s">
        <v>91</v>
      </c>
      <c r="B80">
        <v>2</v>
      </c>
    </row>
    <row r="81" spans="1:2" x14ac:dyDescent="0.3">
      <c r="A81" s="3" t="s">
        <v>278</v>
      </c>
      <c r="B81">
        <v>2</v>
      </c>
    </row>
    <row r="82" spans="1:2" x14ac:dyDescent="0.3">
      <c r="A82" s="3" t="s">
        <v>167</v>
      </c>
      <c r="B82">
        <v>2</v>
      </c>
    </row>
    <row r="83" spans="1:2" x14ac:dyDescent="0.3">
      <c r="A83" s="3" t="s">
        <v>270</v>
      </c>
      <c r="B83">
        <v>2</v>
      </c>
    </row>
    <row r="84" spans="1:2" x14ac:dyDescent="0.3">
      <c r="A84" s="3" t="s">
        <v>285</v>
      </c>
      <c r="B84">
        <v>2</v>
      </c>
    </row>
    <row r="85" spans="1:2" x14ac:dyDescent="0.3">
      <c r="A85" s="3" t="s">
        <v>259</v>
      </c>
      <c r="B85">
        <v>2</v>
      </c>
    </row>
    <row r="86" spans="1:2" x14ac:dyDescent="0.3">
      <c r="A86" s="3" t="s">
        <v>106</v>
      </c>
      <c r="B86">
        <v>2</v>
      </c>
    </row>
    <row r="87" spans="1:2" x14ac:dyDescent="0.3">
      <c r="A87" s="3" t="s">
        <v>68</v>
      </c>
      <c r="B87">
        <v>2</v>
      </c>
    </row>
    <row r="88" spans="1:2" x14ac:dyDescent="0.3">
      <c r="A88" s="3" t="s">
        <v>21</v>
      </c>
      <c r="B88">
        <v>2</v>
      </c>
    </row>
    <row r="89" spans="1:2" x14ac:dyDescent="0.3">
      <c r="A89" s="3" t="s">
        <v>217</v>
      </c>
      <c r="B89">
        <v>1</v>
      </c>
    </row>
    <row r="90" spans="1:2" x14ac:dyDescent="0.3">
      <c r="A90" s="3" t="s">
        <v>280</v>
      </c>
      <c r="B90">
        <v>1</v>
      </c>
    </row>
    <row r="91" spans="1:2" x14ac:dyDescent="0.3">
      <c r="A91" s="3" t="s">
        <v>228</v>
      </c>
      <c r="B91">
        <v>1</v>
      </c>
    </row>
    <row r="92" spans="1:2" x14ac:dyDescent="0.3">
      <c r="A92" s="3" t="s">
        <v>19</v>
      </c>
      <c r="B92">
        <v>1</v>
      </c>
    </row>
    <row r="93" spans="1:2" x14ac:dyDescent="0.3">
      <c r="A93" s="3" t="s">
        <v>206</v>
      </c>
      <c r="B93">
        <v>1</v>
      </c>
    </row>
    <row r="94" spans="1:2" x14ac:dyDescent="0.3">
      <c r="A94" s="3" t="s">
        <v>368</v>
      </c>
      <c r="B94">
        <v>1</v>
      </c>
    </row>
    <row r="95" spans="1:2" x14ac:dyDescent="0.3">
      <c r="A95" s="3" t="s">
        <v>370</v>
      </c>
      <c r="B95">
        <v>1</v>
      </c>
    </row>
    <row r="96" spans="1:2" x14ac:dyDescent="0.3">
      <c r="A96" s="3" t="s">
        <v>128</v>
      </c>
      <c r="B96">
        <v>1</v>
      </c>
    </row>
    <row r="97" spans="1:2" x14ac:dyDescent="0.3">
      <c r="A97" s="3" t="s">
        <v>301</v>
      </c>
      <c r="B97">
        <v>1</v>
      </c>
    </row>
    <row r="98" spans="1:2" x14ac:dyDescent="0.3">
      <c r="A98" s="3" t="s">
        <v>57</v>
      </c>
      <c r="B98">
        <v>1</v>
      </c>
    </row>
    <row r="99" spans="1:2" x14ac:dyDescent="0.3">
      <c r="A99" s="3" t="s">
        <v>241</v>
      </c>
      <c r="B99">
        <v>1</v>
      </c>
    </row>
    <row r="100" spans="1:2" x14ac:dyDescent="0.3">
      <c r="A100" s="3" t="s">
        <v>291</v>
      </c>
      <c r="B100">
        <v>1</v>
      </c>
    </row>
    <row r="101" spans="1:2" x14ac:dyDescent="0.3">
      <c r="A101" s="3" t="s">
        <v>233</v>
      </c>
      <c r="B101">
        <v>1</v>
      </c>
    </row>
    <row r="102" spans="1:2" x14ac:dyDescent="0.3">
      <c r="A102" s="3" t="s">
        <v>121</v>
      </c>
      <c r="B102">
        <v>1</v>
      </c>
    </row>
    <row r="103" spans="1:2" x14ac:dyDescent="0.3">
      <c r="A103" s="3" t="s">
        <v>154</v>
      </c>
      <c r="B103">
        <v>1</v>
      </c>
    </row>
    <row r="104" spans="1:2" x14ac:dyDescent="0.3">
      <c r="A104" s="3" t="s">
        <v>365</v>
      </c>
      <c r="B104">
        <v>1</v>
      </c>
    </row>
    <row r="105" spans="1:2" x14ac:dyDescent="0.3">
      <c r="A105" s="3" t="s">
        <v>159</v>
      </c>
      <c r="B105">
        <v>1</v>
      </c>
    </row>
    <row r="106" spans="1:2" x14ac:dyDescent="0.3">
      <c r="A106" s="3" t="s">
        <v>274</v>
      </c>
    </row>
    <row r="107" spans="1:2" x14ac:dyDescent="0.3">
      <c r="A107" s="3" t="s">
        <v>358</v>
      </c>
    </row>
    <row r="108" spans="1:2" x14ac:dyDescent="0.3">
      <c r="A108" s="3" t="s">
        <v>385</v>
      </c>
    </row>
    <row r="109" spans="1:2" x14ac:dyDescent="0.3">
      <c r="A109" s="3" t="s">
        <v>306</v>
      </c>
    </row>
    <row r="110" spans="1:2" x14ac:dyDescent="0.3">
      <c r="A110" s="3" t="s">
        <v>427</v>
      </c>
    </row>
    <row r="111" spans="1:2" x14ac:dyDescent="0.3">
      <c r="A111" s="3" t="s">
        <v>384</v>
      </c>
    </row>
    <row r="112" spans="1:2" x14ac:dyDescent="0.3">
      <c r="A112" s="3" t="s">
        <v>197</v>
      </c>
    </row>
    <row r="113" spans="1:2" x14ac:dyDescent="0.3">
      <c r="A113" s="3" t="s">
        <v>422</v>
      </c>
      <c r="B113">
        <v>1705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350E-D19A-445F-B0BB-E58631996CD6}">
  <dimension ref="A3:B16"/>
  <sheetViews>
    <sheetView workbookViewId="0">
      <selection activeCell="B26" sqref="B26"/>
    </sheetView>
  </sheetViews>
  <sheetFormatPr defaultRowHeight="14.4" x14ac:dyDescent="0.3"/>
  <cols>
    <col min="1" max="1" width="12.5546875" bestFit="1" customWidth="1"/>
    <col min="2" max="2" width="19.21875" bestFit="1" customWidth="1"/>
  </cols>
  <sheetData>
    <row r="3" spans="1:2" x14ac:dyDescent="0.3">
      <c r="A3" s="2" t="s">
        <v>421</v>
      </c>
      <c r="B3" t="s">
        <v>428</v>
      </c>
    </row>
    <row r="4" spans="1:2" x14ac:dyDescent="0.3">
      <c r="A4" s="3">
        <v>1</v>
      </c>
      <c r="B4">
        <v>227815.97</v>
      </c>
    </row>
    <row r="5" spans="1:2" x14ac:dyDescent="0.3">
      <c r="A5" s="3">
        <v>2</v>
      </c>
      <c r="B5">
        <v>566796</v>
      </c>
    </row>
    <row r="6" spans="1:2" x14ac:dyDescent="0.3">
      <c r="A6" s="3">
        <v>3</v>
      </c>
      <c r="B6">
        <v>1510600</v>
      </c>
    </row>
    <row r="7" spans="1:2" x14ac:dyDescent="0.3">
      <c r="A7" s="3">
        <v>4</v>
      </c>
      <c r="B7">
        <v>645447</v>
      </c>
    </row>
    <row r="8" spans="1:2" x14ac:dyDescent="0.3">
      <c r="A8" s="3">
        <v>5</v>
      </c>
      <c r="B8">
        <v>218802</v>
      </c>
    </row>
    <row r="9" spans="1:2" x14ac:dyDescent="0.3">
      <c r="A9" s="3">
        <v>6</v>
      </c>
      <c r="B9">
        <v>457785</v>
      </c>
    </row>
    <row r="10" spans="1:2" x14ac:dyDescent="0.3">
      <c r="A10" s="3">
        <v>7</v>
      </c>
      <c r="B10">
        <v>289395</v>
      </c>
    </row>
    <row r="11" spans="1:2" x14ac:dyDescent="0.3">
      <c r="A11" s="3">
        <v>8</v>
      </c>
      <c r="B11">
        <v>365740</v>
      </c>
    </row>
    <row r="12" spans="1:2" x14ac:dyDescent="0.3">
      <c r="A12" s="3">
        <v>9</v>
      </c>
      <c r="B12">
        <v>537582</v>
      </c>
    </row>
    <row r="13" spans="1:2" x14ac:dyDescent="0.3">
      <c r="A13" s="3">
        <v>10</v>
      </c>
      <c r="B13">
        <v>396862</v>
      </c>
    </row>
    <row r="14" spans="1:2" x14ac:dyDescent="0.3">
      <c r="A14" s="3">
        <v>11</v>
      </c>
      <c r="B14">
        <v>332168</v>
      </c>
    </row>
    <row r="15" spans="1:2" x14ac:dyDescent="0.3">
      <c r="A15" s="3">
        <v>12</v>
      </c>
      <c r="B15">
        <v>196163</v>
      </c>
    </row>
    <row r="16" spans="1:2" x14ac:dyDescent="0.3">
      <c r="A16" s="3" t="s">
        <v>422</v>
      </c>
      <c r="B16">
        <v>5745155.9699999997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0EE6F-73A7-46A5-996E-539FF636B250}">
  <dimension ref="A3:B113"/>
  <sheetViews>
    <sheetView zoomScale="98" workbookViewId="0">
      <selection activeCell="R13" sqref="R13"/>
    </sheetView>
  </sheetViews>
  <sheetFormatPr defaultRowHeight="14.4" x14ac:dyDescent="0.3"/>
  <cols>
    <col min="1" max="1" width="36.6640625" bestFit="1" customWidth="1"/>
    <col min="2" max="2" width="22" bestFit="1" customWidth="1"/>
  </cols>
  <sheetData>
    <row r="3" spans="1:2" x14ac:dyDescent="0.3">
      <c r="A3" s="2" t="s">
        <v>421</v>
      </c>
      <c r="B3" t="s">
        <v>429</v>
      </c>
    </row>
    <row r="4" spans="1:2" x14ac:dyDescent="0.3">
      <c r="A4" s="3" t="s">
        <v>40</v>
      </c>
      <c r="B4">
        <v>1932875</v>
      </c>
    </row>
    <row r="5" spans="1:2" x14ac:dyDescent="0.3">
      <c r="A5" s="3" t="s">
        <v>94</v>
      </c>
      <c r="B5">
        <v>677430</v>
      </c>
    </row>
    <row r="6" spans="1:2" x14ac:dyDescent="0.3">
      <c r="A6" s="3" t="s">
        <v>98</v>
      </c>
      <c r="B6">
        <v>642692</v>
      </c>
    </row>
    <row r="7" spans="1:2" x14ac:dyDescent="0.3">
      <c r="A7" s="3" t="s">
        <v>359</v>
      </c>
      <c r="B7">
        <v>412660</v>
      </c>
    </row>
    <row r="8" spans="1:2" x14ac:dyDescent="0.3">
      <c r="A8" s="3" t="s">
        <v>38</v>
      </c>
      <c r="B8">
        <v>229162</v>
      </c>
    </row>
    <row r="9" spans="1:2" x14ac:dyDescent="0.3">
      <c r="A9" s="3" t="s">
        <v>194</v>
      </c>
      <c r="B9">
        <v>174005</v>
      </c>
    </row>
    <row r="10" spans="1:2" x14ac:dyDescent="0.3">
      <c r="A10" s="3" t="s">
        <v>33</v>
      </c>
      <c r="B10">
        <v>142437</v>
      </c>
    </row>
    <row r="11" spans="1:2" x14ac:dyDescent="0.3">
      <c r="A11" s="3" t="s">
        <v>338</v>
      </c>
      <c r="B11">
        <v>141450</v>
      </c>
    </row>
    <row r="12" spans="1:2" x14ac:dyDescent="0.3">
      <c r="A12" s="3" t="s">
        <v>22</v>
      </c>
      <c r="B12">
        <v>129243</v>
      </c>
    </row>
    <row r="13" spans="1:2" x14ac:dyDescent="0.3">
      <c r="A13" s="3" t="s">
        <v>11</v>
      </c>
      <c r="B13">
        <v>110652</v>
      </c>
    </row>
    <row r="14" spans="1:2" x14ac:dyDescent="0.3">
      <c r="A14" s="3" t="s">
        <v>108</v>
      </c>
      <c r="B14">
        <v>88135</v>
      </c>
    </row>
    <row r="15" spans="1:2" x14ac:dyDescent="0.3">
      <c r="A15" s="3" t="s">
        <v>293</v>
      </c>
      <c r="B15">
        <v>65205</v>
      </c>
    </row>
    <row r="16" spans="1:2" x14ac:dyDescent="0.3">
      <c r="A16" s="3" t="s">
        <v>173</v>
      </c>
      <c r="B16">
        <v>59665</v>
      </c>
    </row>
    <row r="17" spans="1:2" x14ac:dyDescent="0.3">
      <c r="A17" s="3" t="s">
        <v>123</v>
      </c>
      <c r="B17">
        <v>57900</v>
      </c>
    </row>
    <row r="18" spans="1:2" x14ac:dyDescent="0.3">
      <c r="A18" s="3" t="s">
        <v>148</v>
      </c>
      <c r="B18">
        <v>56545</v>
      </c>
    </row>
    <row r="19" spans="1:2" x14ac:dyDescent="0.3">
      <c r="A19" s="3" t="s">
        <v>112</v>
      </c>
      <c r="B19">
        <v>56125</v>
      </c>
    </row>
    <row r="20" spans="1:2" x14ac:dyDescent="0.3">
      <c r="A20" s="3" t="s">
        <v>325</v>
      </c>
      <c r="B20">
        <v>53505</v>
      </c>
    </row>
    <row r="21" spans="1:2" x14ac:dyDescent="0.3">
      <c r="A21" s="3" t="s">
        <v>364</v>
      </c>
      <c r="B21">
        <v>51220</v>
      </c>
    </row>
    <row r="22" spans="1:2" x14ac:dyDescent="0.3">
      <c r="A22" s="3" t="s">
        <v>204</v>
      </c>
      <c r="B22">
        <v>48789</v>
      </c>
    </row>
    <row r="23" spans="1:2" x14ac:dyDescent="0.3">
      <c r="A23" s="3" t="s">
        <v>211</v>
      </c>
      <c r="B23">
        <v>46040</v>
      </c>
    </row>
    <row r="24" spans="1:2" x14ac:dyDescent="0.3">
      <c r="A24" s="3" t="s">
        <v>324</v>
      </c>
      <c r="B24">
        <v>45620</v>
      </c>
    </row>
    <row r="25" spans="1:2" x14ac:dyDescent="0.3">
      <c r="A25" s="3" t="s">
        <v>101</v>
      </c>
      <c r="B25">
        <v>41840</v>
      </c>
    </row>
    <row r="26" spans="1:2" x14ac:dyDescent="0.3">
      <c r="A26" s="3" t="s">
        <v>142</v>
      </c>
      <c r="B26">
        <v>41510</v>
      </c>
    </row>
    <row r="27" spans="1:2" x14ac:dyDescent="0.3">
      <c r="A27" s="3" t="s">
        <v>44</v>
      </c>
      <c r="B27">
        <v>38166</v>
      </c>
    </row>
    <row r="28" spans="1:2" x14ac:dyDescent="0.3">
      <c r="A28" s="3" t="s">
        <v>133</v>
      </c>
      <c r="B28">
        <v>37799</v>
      </c>
    </row>
    <row r="29" spans="1:2" x14ac:dyDescent="0.3">
      <c r="A29" s="3" t="s">
        <v>134</v>
      </c>
      <c r="B29">
        <v>33085</v>
      </c>
    </row>
    <row r="30" spans="1:2" x14ac:dyDescent="0.3">
      <c r="A30" s="3" t="s">
        <v>271</v>
      </c>
      <c r="B30">
        <v>31360</v>
      </c>
    </row>
    <row r="31" spans="1:2" x14ac:dyDescent="0.3">
      <c r="A31" s="3" t="s">
        <v>125</v>
      </c>
      <c r="B31">
        <v>26240</v>
      </c>
    </row>
    <row r="32" spans="1:2" x14ac:dyDescent="0.3">
      <c r="A32" s="3" t="s">
        <v>339</v>
      </c>
      <c r="B32">
        <v>25000</v>
      </c>
    </row>
    <row r="33" spans="1:2" x14ac:dyDescent="0.3">
      <c r="A33" s="3" t="s">
        <v>213</v>
      </c>
      <c r="B33">
        <v>24170</v>
      </c>
    </row>
    <row r="34" spans="1:2" x14ac:dyDescent="0.3">
      <c r="A34" s="3" t="s">
        <v>176</v>
      </c>
      <c r="B34">
        <v>23550</v>
      </c>
    </row>
    <row r="35" spans="1:2" x14ac:dyDescent="0.3">
      <c r="A35" s="3" t="s">
        <v>231</v>
      </c>
      <c r="B35">
        <v>18595</v>
      </c>
    </row>
    <row r="36" spans="1:2" x14ac:dyDescent="0.3">
      <c r="A36" s="3" t="s">
        <v>165</v>
      </c>
      <c r="B36">
        <v>18452</v>
      </c>
    </row>
    <row r="37" spans="1:2" x14ac:dyDescent="0.3">
      <c r="A37" s="3" t="s">
        <v>135</v>
      </c>
      <c r="B37">
        <v>16720</v>
      </c>
    </row>
    <row r="38" spans="1:2" x14ac:dyDescent="0.3">
      <c r="A38" s="3" t="s">
        <v>219</v>
      </c>
      <c r="B38">
        <v>16102</v>
      </c>
    </row>
    <row r="39" spans="1:2" x14ac:dyDescent="0.3">
      <c r="A39" s="3" t="s">
        <v>198</v>
      </c>
      <c r="B39">
        <v>15984</v>
      </c>
    </row>
    <row r="40" spans="1:2" x14ac:dyDescent="0.3">
      <c r="A40" s="3" t="s">
        <v>235</v>
      </c>
      <c r="B40">
        <v>14050</v>
      </c>
    </row>
    <row r="41" spans="1:2" x14ac:dyDescent="0.3">
      <c r="A41" s="3" t="s">
        <v>225</v>
      </c>
      <c r="B41">
        <v>12840</v>
      </c>
    </row>
    <row r="42" spans="1:2" x14ac:dyDescent="0.3">
      <c r="A42" s="3" t="s">
        <v>171</v>
      </c>
      <c r="B42">
        <v>12725</v>
      </c>
    </row>
    <row r="43" spans="1:2" x14ac:dyDescent="0.3">
      <c r="A43" s="3" t="s">
        <v>270</v>
      </c>
      <c r="B43">
        <v>12000</v>
      </c>
    </row>
    <row r="44" spans="1:2" x14ac:dyDescent="0.3">
      <c r="A44" s="3" t="s">
        <v>216</v>
      </c>
      <c r="B44">
        <v>11640</v>
      </c>
    </row>
    <row r="45" spans="1:2" x14ac:dyDescent="0.3">
      <c r="A45" s="3" t="s">
        <v>152</v>
      </c>
      <c r="B45">
        <v>11570</v>
      </c>
    </row>
    <row r="46" spans="1:2" x14ac:dyDescent="0.3">
      <c r="A46" s="3" t="s">
        <v>197</v>
      </c>
      <c r="B46">
        <v>11090</v>
      </c>
    </row>
    <row r="47" spans="1:2" x14ac:dyDescent="0.3">
      <c r="A47" s="3" t="s">
        <v>111</v>
      </c>
      <c r="B47">
        <v>10555</v>
      </c>
    </row>
    <row r="48" spans="1:2" x14ac:dyDescent="0.3">
      <c r="A48" s="3" t="s">
        <v>29</v>
      </c>
      <c r="B48">
        <v>10372</v>
      </c>
    </row>
    <row r="49" spans="1:2" x14ac:dyDescent="0.3">
      <c r="A49" s="3" t="s">
        <v>294</v>
      </c>
      <c r="B49">
        <v>10080</v>
      </c>
    </row>
    <row r="50" spans="1:2" x14ac:dyDescent="0.3">
      <c r="A50" s="3" t="s">
        <v>87</v>
      </c>
      <c r="B50">
        <v>9990</v>
      </c>
    </row>
    <row r="51" spans="1:2" x14ac:dyDescent="0.3">
      <c r="A51" s="3" t="s">
        <v>136</v>
      </c>
      <c r="B51">
        <v>9685</v>
      </c>
    </row>
    <row r="52" spans="1:2" x14ac:dyDescent="0.3">
      <c r="A52" s="3" t="s">
        <v>146</v>
      </c>
      <c r="B52">
        <v>8555</v>
      </c>
    </row>
    <row r="53" spans="1:2" x14ac:dyDescent="0.3">
      <c r="A53" s="3" t="s">
        <v>191</v>
      </c>
      <c r="B53">
        <v>8475</v>
      </c>
    </row>
    <row r="54" spans="1:2" x14ac:dyDescent="0.3">
      <c r="A54" s="3" t="s">
        <v>4</v>
      </c>
      <c r="B54">
        <v>8400</v>
      </c>
    </row>
    <row r="55" spans="1:2" x14ac:dyDescent="0.3">
      <c r="A55" s="3" t="s">
        <v>394</v>
      </c>
      <c r="B55">
        <v>7885</v>
      </c>
    </row>
    <row r="56" spans="1:2" x14ac:dyDescent="0.3">
      <c r="A56" s="3" t="s">
        <v>116</v>
      </c>
      <c r="B56">
        <v>7730</v>
      </c>
    </row>
    <row r="57" spans="1:2" x14ac:dyDescent="0.3">
      <c r="A57" s="3" t="s">
        <v>68</v>
      </c>
      <c r="B57">
        <v>7305</v>
      </c>
    </row>
    <row r="58" spans="1:2" x14ac:dyDescent="0.3">
      <c r="A58" s="3" t="s">
        <v>246</v>
      </c>
      <c r="B58">
        <v>6750</v>
      </c>
    </row>
    <row r="59" spans="1:2" x14ac:dyDescent="0.3">
      <c r="A59" s="3" t="s">
        <v>42</v>
      </c>
      <c r="B59">
        <v>6745</v>
      </c>
    </row>
    <row r="60" spans="1:2" x14ac:dyDescent="0.3">
      <c r="A60" s="3" t="s">
        <v>221</v>
      </c>
      <c r="B60">
        <v>6649.97</v>
      </c>
    </row>
    <row r="61" spans="1:2" x14ac:dyDescent="0.3">
      <c r="A61" s="3" t="s">
        <v>188</v>
      </c>
      <c r="B61">
        <v>6457</v>
      </c>
    </row>
    <row r="62" spans="1:2" x14ac:dyDescent="0.3">
      <c r="A62" s="3" t="s">
        <v>56</v>
      </c>
      <c r="B62">
        <v>5925</v>
      </c>
    </row>
    <row r="63" spans="1:2" x14ac:dyDescent="0.3">
      <c r="A63" s="3" t="s">
        <v>301</v>
      </c>
      <c r="B63">
        <v>5040</v>
      </c>
    </row>
    <row r="64" spans="1:2" x14ac:dyDescent="0.3">
      <c r="A64" s="3" t="s">
        <v>147</v>
      </c>
      <c r="B64">
        <v>4965</v>
      </c>
    </row>
    <row r="65" spans="1:2" x14ac:dyDescent="0.3">
      <c r="A65" s="3" t="s">
        <v>381</v>
      </c>
      <c r="B65">
        <v>4690</v>
      </c>
    </row>
    <row r="66" spans="1:2" x14ac:dyDescent="0.3">
      <c r="A66" s="3" t="s">
        <v>256</v>
      </c>
      <c r="B66">
        <v>4535</v>
      </c>
    </row>
    <row r="67" spans="1:2" x14ac:dyDescent="0.3">
      <c r="A67" s="3" t="s">
        <v>121</v>
      </c>
      <c r="B67">
        <v>4320</v>
      </c>
    </row>
    <row r="68" spans="1:2" x14ac:dyDescent="0.3">
      <c r="A68" s="3" t="s">
        <v>57</v>
      </c>
      <c r="B68">
        <v>4320</v>
      </c>
    </row>
    <row r="69" spans="1:2" x14ac:dyDescent="0.3">
      <c r="A69" s="3" t="s">
        <v>239</v>
      </c>
      <c r="B69">
        <v>4190</v>
      </c>
    </row>
    <row r="70" spans="1:2" x14ac:dyDescent="0.3">
      <c r="A70" s="3" t="s">
        <v>175</v>
      </c>
      <c r="B70">
        <v>4045</v>
      </c>
    </row>
    <row r="71" spans="1:2" x14ac:dyDescent="0.3">
      <c r="A71" s="3" t="s">
        <v>307</v>
      </c>
      <c r="B71">
        <v>3980</v>
      </c>
    </row>
    <row r="72" spans="1:2" x14ac:dyDescent="0.3">
      <c r="A72" s="3" t="s">
        <v>252</v>
      </c>
      <c r="B72">
        <v>3760</v>
      </c>
    </row>
    <row r="73" spans="1:2" x14ac:dyDescent="0.3">
      <c r="A73" s="3" t="s">
        <v>266</v>
      </c>
      <c r="B73">
        <v>3650</v>
      </c>
    </row>
    <row r="74" spans="1:2" x14ac:dyDescent="0.3">
      <c r="A74" s="3" t="s">
        <v>233</v>
      </c>
      <c r="B74">
        <v>3240</v>
      </c>
    </row>
    <row r="75" spans="1:2" x14ac:dyDescent="0.3">
      <c r="A75" s="3" t="s">
        <v>89</v>
      </c>
      <c r="B75">
        <v>3230</v>
      </c>
    </row>
    <row r="76" spans="1:2" x14ac:dyDescent="0.3">
      <c r="A76" s="3" t="s">
        <v>114</v>
      </c>
      <c r="B76">
        <v>3205</v>
      </c>
    </row>
    <row r="77" spans="1:2" x14ac:dyDescent="0.3">
      <c r="A77" s="3" t="s">
        <v>140</v>
      </c>
      <c r="B77">
        <v>3205</v>
      </c>
    </row>
    <row r="78" spans="1:2" x14ac:dyDescent="0.3">
      <c r="A78" s="3" t="s">
        <v>206</v>
      </c>
      <c r="B78">
        <v>3150</v>
      </c>
    </row>
    <row r="79" spans="1:2" x14ac:dyDescent="0.3">
      <c r="A79" s="3" t="s">
        <v>187</v>
      </c>
      <c r="B79">
        <v>2755</v>
      </c>
    </row>
    <row r="80" spans="1:2" x14ac:dyDescent="0.3">
      <c r="A80" s="3" t="s">
        <v>169</v>
      </c>
      <c r="B80">
        <v>2620</v>
      </c>
    </row>
    <row r="81" spans="1:2" x14ac:dyDescent="0.3">
      <c r="A81" s="3" t="s">
        <v>106</v>
      </c>
      <c r="B81">
        <v>2580</v>
      </c>
    </row>
    <row r="82" spans="1:2" x14ac:dyDescent="0.3">
      <c r="A82" s="3" t="s">
        <v>21</v>
      </c>
      <c r="B82">
        <v>2540</v>
      </c>
    </row>
    <row r="83" spans="1:2" x14ac:dyDescent="0.3">
      <c r="A83" s="3" t="s">
        <v>259</v>
      </c>
      <c r="B83">
        <v>2335</v>
      </c>
    </row>
    <row r="84" spans="1:2" x14ac:dyDescent="0.3">
      <c r="A84" s="3" t="s">
        <v>159</v>
      </c>
      <c r="B84">
        <v>2040</v>
      </c>
    </row>
    <row r="85" spans="1:2" x14ac:dyDescent="0.3">
      <c r="A85" s="3" t="s">
        <v>281</v>
      </c>
      <c r="B85">
        <v>2020</v>
      </c>
    </row>
    <row r="86" spans="1:2" x14ac:dyDescent="0.3">
      <c r="A86" s="3" t="s">
        <v>243</v>
      </c>
      <c r="B86">
        <v>1935</v>
      </c>
    </row>
    <row r="87" spans="1:2" x14ac:dyDescent="0.3">
      <c r="A87" s="3" t="s">
        <v>247</v>
      </c>
      <c r="B87">
        <v>1860</v>
      </c>
    </row>
    <row r="88" spans="1:2" x14ac:dyDescent="0.3">
      <c r="A88" s="3" t="s">
        <v>167</v>
      </c>
      <c r="B88">
        <v>1720</v>
      </c>
    </row>
    <row r="89" spans="1:2" x14ac:dyDescent="0.3">
      <c r="A89" s="3" t="s">
        <v>154</v>
      </c>
      <c r="B89">
        <v>1720</v>
      </c>
    </row>
    <row r="90" spans="1:2" x14ac:dyDescent="0.3">
      <c r="A90" s="3" t="s">
        <v>280</v>
      </c>
      <c r="B90">
        <v>1700</v>
      </c>
    </row>
    <row r="91" spans="1:2" x14ac:dyDescent="0.3">
      <c r="A91" s="3" t="s">
        <v>389</v>
      </c>
      <c r="B91">
        <v>1620</v>
      </c>
    </row>
    <row r="92" spans="1:2" x14ac:dyDescent="0.3">
      <c r="A92" s="3" t="s">
        <v>310</v>
      </c>
      <c r="B92">
        <v>1600</v>
      </c>
    </row>
    <row r="93" spans="1:2" x14ac:dyDescent="0.3">
      <c r="A93" s="3" t="s">
        <v>285</v>
      </c>
      <c r="B93">
        <v>1540</v>
      </c>
    </row>
    <row r="94" spans="1:2" x14ac:dyDescent="0.3">
      <c r="A94" s="3" t="s">
        <v>278</v>
      </c>
      <c r="B94">
        <v>1490</v>
      </c>
    </row>
    <row r="95" spans="1:2" x14ac:dyDescent="0.3">
      <c r="A95" s="3" t="s">
        <v>365</v>
      </c>
      <c r="B95">
        <v>1320</v>
      </c>
    </row>
    <row r="96" spans="1:2" x14ac:dyDescent="0.3">
      <c r="A96" s="3" t="s">
        <v>383</v>
      </c>
      <c r="B96">
        <v>1140</v>
      </c>
    </row>
    <row r="97" spans="1:2" x14ac:dyDescent="0.3">
      <c r="A97" s="3" t="s">
        <v>241</v>
      </c>
      <c r="B97">
        <v>645</v>
      </c>
    </row>
    <row r="98" spans="1:2" x14ac:dyDescent="0.3">
      <c r="A98" s="3" t="s">
        <v>228</v>
      </c>
      <c r="B98">
        <v>645</v>
      </c>
    </row>
    <row r="99" spans="1:2" x14ac:dyDescent="0.3">
      <c r="A99" s="3" t="s">
        <v>91</v>
      </c>
      <c r="B99">
        <v>640</v>
      </c>
    </row>
    <row r="100" spans="1:2" x14ac:dyDescent="0.3">
      <c r="A100" s="3" t="s">
        <v>128</v>
      </c>
      <c r="B100">
        <v>590</v>
      </c>
    </row>
    <row r="101" spans="1:2" x14ac:dyDescent="0.3">
      <c r="A101" s="3" t="s">
        <v>238</v>
      </c>
      <c r="B101">
        <v>540</v>
      </c>
    </row>
    <row r="102" spans="1:2" x14ac:dyDescent="0.3">
      <c r="A102" s="3" t="s">
        <v>217</v>
      </c>
      <c r="B102">
        <v>480</v>
      </c>
    </row>
    <row r="103" spans="1:2" x14ac:dyDescent="0.3">
      <c r="A103" s="3" t="s">
        <v>19</v>
      </c>
      <c r="B103">
        <v>200</v>
      </c>
    </row>
    <row r="104" spans="1:2" x14ac:dyDescent="0.3">
      <c r="A104" s="3" t="s">
        <v>291</v>
      </c>
      <c r="B104">
        <v>100</v>
      </c>
    </row>
    <row r="105" spans="1:2" x14ac:dyDescent="0.3">
      <c r="A105" s="3" t="s">
        <v>274</v>
      </c>
    </row>
    <row r="106" spans="1:2" x14ac:dyDescent="0.3">
      <c r="A106" s="3" t="s">
        <v>427</v>
      </c>
    </row>
    <row r="107" spans="1:2" x14ac:dyDescent="0.3">
      <c r="A107" s="3" t="s">
        <v>385</v>
      </c>
    </row>
    <row r="108" spans="1:2" x14ac:dyDescent="0.3">
      <c r="A108" s="3" t="s">
        <v>368</v>
      </c>
    </row>
    <row r="109" spans="1:2" x14ac:dyDescent="0.3">
      <c r="A109" s="3" t="s">
        <v>384</v>
      </c>
    </row>
    <row r="110" spans="1:2" x14ac:dyDescent="0.3">
      <c r="A110" s="3" t="s">
        <v>306</v>
      </c>
    </row>
    <row r="111" spans="1:2" x14ac:dyDescent="0.3">
      <c r="A111" s="3" t="s">
        <v>370</v>
      </c>
    </row>
    <row r="112" spans="1:2" x14ac:dyDescent="0.3">
      <c r="A112" s="3" t="s">
        <v>358</v>
      </c>
    </row>
    <row r="113" spans="1:2" x14ac:dyDescent="0.3">
      <c r="A113" s="3" t="s">
        <v>422</v>
      </c>
      <c r="B113">
        <v>5949301.9699999997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Raw Data</vt:lpstr>
      <vt:lpstr>Sale Trends</vt:lpstr>
      <vt:lpstr>Customer Purchase Behavior Anal</vt:lpstr>
      <vt:lpstr> Top-Selling Products</vt:lpstr>
      <vt:lpstr>Monthly Sales Trends</vt:lpstr>
      <vt:lpstr>PIe chart For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kanhiya goyal</dc:creator>
  <cp:lastModifiedBy>Smruti Ranjan Sahoo</cp:lastModifiedBy>
  <dcterms:created xsi:type="dcterms:W3CDTF">2025-01-29T20:48:41Z</dcterms:created>
  <dcterms:modified xsi:type="dcterms:W3CDTF">2025-12-28T17:45:25Z</dcterms:modified>
</cp:coreProperties>
</file>